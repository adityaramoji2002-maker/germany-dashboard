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S Checklist" sheetId="1" r:id="rId5"/>
    <sheet state="visible" name="Adityas Document Checklist" sheetId="2" r:id="rId6"/>
    <sheet state="visible" name="Vishnus Document Checklist" sheetId="3" r:id="rId7"/>
    <sheet state="visible" name="Visa Checklist" sheetId="4" r:id="rId8"/>
    <sheet state="visible" name="List of universities" sheetId="5" r:id="rId9"/>
    <sheet state="visible" name="Applied universitys status" sheetId="6" r:id="rId10"/>
    <sheet state="visible" name="Packing" sheetId="7" r:id="rId11"/>
    <sheet state="visible" name="Expenses" sheetId="8" r:id="rId12"/>
    <sheet state="visible" name="Courier" sheetId="9" r:id="rId13"/>
    <sheet state="visible" name="IELTS Preparation" sheetId="10" r:id="rId14"/>
    <sheet state="visible" name="Germany Time Line" sheetId="11" r:id="rId15"/>
  </sheets>
  <definedNames>
    <definedName hidden="1" localSheetId="4" name="_xlnm._FilterDatabase">'List of universities'!$A$1:$V$88</definedName>
  </definedNames>
  <calcPr/>
</workbook>
</file>

<file path=xl/sharedStrings.xml><?xml version="1.0" encoding="utf-8"?>
<sst xmlns="http://schemas.openxmlformats.org/spreadsheetml/2006/main" count="2368" uniqueCount="1241">
  <si>
    <t>Ramoji Aditya Chary</t>
  </si>
  <si>
    <t>Bongurala Vishnu Vardhan Chary</t>
  </si>
  <si>
    <t>S.no</t>
  </si>
  <si>
    <t>Documents Required</t>
  </si>
  <si>
    <t>Checked</t>
  </si>
  <si>
    <t>Printed and duly signed application form with passport size photo (not older than 6 months)</t>
  </si>
  <si>
    <t>Copy of APS fee transfer receipt.</t>
  </si>
  <si>
    <t>Copy of Aadhaar card with linked mobile number.</t>
  </si>
  <si>
    <t>Copy of passport (1st and last page)</t>
  </si>
  <si>
    <t>Copy of Class X Marksheet and Certificate</t>
  </si>
  <si>
    <t>Copy of marksheets of all semesters.</t>
  </si>
  <si>
    <t>Copy of the bachelor degree. In case the degree has not yet been issued, the provisional certificate issued by the College will be accepted. (Not older than 1 year)</t>
  </si>
  <si>
    <t>Copy of language certificate – German and/or English</t>
  </si>
  <si>
    <t>Un Checked</t>
  </si>
  <si>
    <t>Copy of signed Student Authorization Letter – German and/or English</t>
  </si>
  <si>
    <t>APS Received</t>
  </si>
  <si>
    <t xml:space="preserve">
 To Do</t>
  </si>
  <si>
    <t>✓</t>
  </si>
  <si>
    <t>Task</t>
  </si>
  <si>
    <t>Documents for University</t>
  </si>
  <si>
    <t>10th and 12th Marksheets</t>
  </si>
  <si>
    <t xml:space="preserve">Bachelor's Degree </t>
  </si>
  <si>
    <t>If not available, ask your institute for a Provisonal Degree or a Bonafide Certificate.</t>
  </si>
  <si>
    <t>Bachelor's Transcripts</t>
  </si>
  <si>
    <t>Transcripts ONLY - Marksheets are not valid</t>
  </si>
  <si>
    <t>IELTS/TOEFL Scorecard</t>
  </si>
  <si>
    <t>Goethe Language Certification</t>
  </si>
  <si>
    <t>If enrolling in a German taught program or if languauge certificate is mandatory in the university.</t>
  </si>
  <si>
    <t>TestAS Scorecard</t>
  </si>
  <si>
    <t>Only for Bachelors</t>
  </si>
  <si>
    <t>GRE Scorecard</t>
  </si>
  <si>
    <t>Only if asked by the University</t>
  </si>
  <si>
    <t>APS Certificate</t>
  </si>
  <si>
    <t>Statement of Purpose</t>
  </si>
  <si>
    <t>Write a different SOP for each university and don't copy-paste someone else's SOP</t>
  </si>
  <si>
    <t>CV in German Format</t>
  </si>
  <si>
    <t>Letter of Recommendation</t>
  </si>
  <si>
    <t>At least 2 to 3 from College Professors, Managers(if working), etc.</t>
  </si>
  <si>
    <t>Extra Certificates</t>
  </si>
  <si>
    <t>Co-curricular certificates or extra-curricular certificates from competitions, courses, projects, or any other activity which can help with your application</t>
  </si>
  <si>
    <t>Documents for Visa</t>
  </si>
  <si>
    <t>Official Checklist for a German Student Visa</t>
  </si>
  <si>
    <t>Passport</t>
  </si>
  <si>
    <t>Application Form</t>
  </si>
  <si>
    <t>Declaration Form</t>
  </si>
  <si>
    <t>Motivation Letter</t>
  </si>
  <si>
    <t>Very Important Document outlining why you want to move to Germany, what course are you studying and what are your future goals.</t>
  </si>
  <si>
    <t>Admit Letter from German University</t>
  </si>
  <si>
    <t>You must appear for the exam in a centre and not give it from home or through an internet based medium</t>
  </si>
  <si>
    <t xml:space="preserve">Only if available </t>
  </si>
  <si>
    <t>Blocked Account Proof</t>
  </si>
  <si>
    <r>
      <rPr>
        <rFont val="Roboto"/>
        <color rgb="FF434343"/>
      </rPr>
      <t xml:space="preserve">Alternatively you need - </t>
    </r>
    <r>
      <rPr>
        <rFont val="Roboto"/>
        <i/>
        <color rgb="FF434343"/>
      </rPr>
      <t>1. Proof of scholarship which covers your living cost and not just tuition fees
2. Sponsorship affidavit along with financial documents of the sponsor.</t>
    </r>
  </si>
  <si>
    <t>Tuition Fees Receipt(if any)</t>
  </si>
  <si>
    <t>You need to show fees paid for at least one semester along with education loan details if you have taken any</t>
  </si>
  <si>
    <t>3 Recent Passport Pictures</t>
  </si>
  <si>
    <t>Travel Health Insurance</t>
  </si>
  <si>
    <t>This is mandatory and differnet from the German Public Health Insurance</t>
  </si>
  <si>
    <r>
      <rPr>
        <rFont val="Roboto"/>
        <color rgb="FF434343"/>
      </rPr>
      <t xml:space="preserve">Alternatively you need - </t>
    </r>
    <r>
      <rPr>
        <rFont val="Roboto"/>
        <i/>
        <color rgb="FF434343"/>
      </rPr>
      <t>1. Proof of scholarship which covers your living cost and not just tuition fees
2. Sponsorship affidavit along with financial documents of the sponsor.</t>
    </r>
  </si>
  <si>
    <t>Application</t>
  </si>
  <si>
    <t xml:space="preserve">Checked </t>
  </si>
  <si>
    <t>Before filling out the application form and booking an appointment, please prepare 2 identical sets of the following documentation for your visa:</t>
  </si>
  <si>
    <t>Valid passport issued within the last 10 years; passports with observations regarding the front data page cannot be accepted) with at least two empty pages</t>
  </si>
  <si>
    <r>
      <rPr>
        <rFont val="Arial"/>
        <color rgb="FF1155CC"/>
        <u/>
      </rPr>
      <t>Application form</t>
    </r>
    <r>
      <rPr>
        <rFont val="Arial"/>
        <color rgb="FF191919"/>
      </rPr>
      <t xml:space="preserve"> &amp; </t>
    </r>
    <r>
      <rPr>
        <rFont val="Arial"/>
        <color rgb="FF1155CC"/>
        <u/>
      </rPr>
      <t>declaration</t>
    </r>
    <r>
      <rPr>
        <rFont val="Arial"/>
        <color rgb="FF191919"/>
      </rPr>
      <t xml:space="preserve"> </t>
    </r>
    <r>
      <rPr>
        <rFont val="Arial"/>
        <color rgb="FF191919"/>
      </rPr>
      <t>(in accordance with Section 54 of the Residence Act) duly signed</t>
    </r>
  </si>
  <si>
    <r>
      <rPr>
        <rFont val="Arial"/>
        <color rgb="FF1155CC"/>
        <u/>
      </rPr>
      <t>Declaration</t>
    </r>
    <r>
      <rPr>
        <rFont val="Arial"/>
        <color rgb="FF191919"/>
      </rPr>
      <t xml:space="preserve"> </t>
    </r>
    <r>
      <rPr>
        <rFont val="Arial"/>
        <color rgb="FF191919"/>
      </rPr>
      <t>for additional contact and legal representation information</t>
    </r>
  </si>
  <si>
    <t>Copy of your passport’s data page (A4 size copy)</t>
  </si>
  <si>
    <t>Statement of purpose / Motivation letter</t>
  </si>
  <si>
    <r>
      <t xml:space="preserve">Certificate issued by the APS (Academic Evaluation Centre) – please consult </t>
    </r>
    <r>
      <rPr>
        <rFont val="inherit"/>
        <color rgb="FF1155CC"/>
        <u/>
      </rPr>
      <t>www.aps-india.de</t>
    </r>
    <r>
      <rPr>
        <rFont val="Arial"/>
        <color rgb="FF191919"/>
      </rPr>
      <t xml:space="preserve"> for further information about application process.</t>
    </r>
  </si>
  <si>
    <t>Proof of admittance to the study course/preparatory college (original and 2 copies) including information on the language of instruction</t>
  </si>
  <si>
    <t>Proof of the language skills</t>
  </si>
  <si>
    <t>Certificates of all academic qualifications you have previously obtained (original and 2 copies)</t>
  </si>
  <si>
    <t>Curriculum vitae</t>
  </si>
  <si>
    <t>Proof of financial means to cover the costs for the time of your studies by one of the following documents:
- confirmation of a German / EU scholarship / stipend or
- “Verpflichtungserklärung” (formal obligation letter) by sponsor living in Germany or
- blocked account for the first year of your stay, amounting to 11,904 euros</t>
  </si>
  <si>
    <t>3 passport pictures according to biometric specifications, not older than 6 months</t>
  </si>
  <si>
    <r>
      <rPr>
        <rFont val="Arial"/>
        <color rgb="FF191919"/>
      </rPr>
      <t xml:space="preserve">Visa fee of 75 € payable in INR only (pls. check our </t>
    </r>
    <r>
      <rPr>
        <rFont val="Arial"/>
        <color rgb="FF1155CC"/>
        <u/>
      </rPr>
      <t>website</t>
    </r>
    <r>
      <rPr>
        <rFont val="Arial"/>
        <color rgb="FF191919"/>
      </rPr>
      <t xml:space="preserve"> </t>
    </r>
    <r>
      <rPr>
        <rFont val="Arial"/>
        <color rgb="FF191919"/>
      </rPr>
      <t>for payment options and applicable exchange rate)</t>
    </r>
  </si>
  <si>
    <r>
      <rPr>
        <rFont val="Arial"/>
        <color rgb="FF191919"/>
      </rPr>
      <t xml:space="preserve">Travel health insurance valid on arrival in Germany to the date of enrollment at the University (mentioned in your admission letter) (approx. 3 months). Kindly click </t>
    </r>
    <r>
      <rPr>
        <rFont val="Arial"/>
        <color rgb="FF1155CC"/>
        <u/>
      </rPr>
      <t>here</t>
    </r>
    <r>
      <rPr>
        <rFont val="Arial"/>
        <color rgb="FF191919"/>
      </rPr>
      <t xml:space="preserve"> to find out about the travel health insurances accepted.</t>
    </r>
  </si>
  <si>
    <r>
      <rPr>
        <rFont val="Arial"/>
        <color rgb="FF1155CC"/>
        <u/>
      </rPr>
      <t>Application form</t>
    </r>
    <r>
      <rPr>
        <rFont val="Arial"/>
        <color rgb="FF191919"/>
      </rPr>
      <t xml:space="preserve"> &amp; </t>
    </r>
    <r>
      <rPr>
        <rFont val="Arial"/>
        <color rgb="FF1155CC"/>
        <u/>
      </rPr>
      <t>declaration</t>
    </r>
    <r>
      <rPr>
        <rFont val="Arial"/>
        <color rgb="FF191919"/>
      </rPr>
      <t xml:space="preserve"> </t>
    </r>
    <r>
      <rPr>
        <rFont val="Arial"/>
        <color rgb="FF191919"/>
      </rPr>
      <t>(in accordance with Section 54 of the Residence Act) duly signed</t>
    </r>
  </si>
  <si>
    <r>
      <rPr>
        <rFont val="Arial"/>
        <color rgb="FF1155CC"/>
        <u/>
      </rPr>
      <t>Declaration</t>
    </r>
    <r>
      <rPr>
        <rFont val="Arial"/>
        <color rgb="FF191919"/>
      </rPr>
      <t xml:space="preserve"> </t>
    </r>
    <r>
      <rPr>
        <rFont val="Arial"/>
        <color rgb="FF191919"/>
      </rPr>
      <t>for additional contact and legal representation information</t>
    </r>
  </si>
  <si>
    <r>
      <t xml:space="preserve">Certificate issued by the APS (Academic Evaluation Centre) – please consult </t>
    </r>
    <r>
      <rPr>
        <rFont val="inherit"/>
        <color rgb="FF1155CC"/>
        <u/>
      </rPr>
      <t>www.aps-india.de</t>
    </r>
    <r>
      <rPr>
        <rFont val="Arial"/>
        <color rgb="FF191919"/>
      </rPr>
      <t xml:space="preserve"> for further information about application process.</t>
    </r>
  </si>
  <si>
    <r>
      <rPr>
        <rFont val="Arial"/>
        <color rgb="FF191919"/>
      </rPr>
      <t xml:space="preserve">Visa fee of 75 € payable in INR only (pls. check our </t>
    </r>
    <r>
      <rPr>
        <rFont val="Arial"/>
        <color rgb="FF1155CC"/>
        <u/>
      </rPr>
      <t>website</t>
    </r>
    <r>
      <rPr>
        <rFont val="Arial"/>
        <color rgb="FF191919"/>
      </rPr>
      <t xml:space="preserve"> </t>
    </r>
    <r>
      <rPr>
        <rFont val="Arial"/>
        <color rgb="FF191919"/>
      </rPr>
      <t>for payment options and applicable exchange rate)</t>
    </r>
  </si>
  <si>
    <r>
      <rPr>
        <rFont val="Arial"/>
        <color rgb="FF191919"/>
      </rPr>
      <t xml:space="preserve">Travel health insurance valid on arrival in Germany to the date of enrollment at the University (mentioned in your admission letter) (approx. 3 months). Kindly click </t>
    </r>
    <r>
      <rPr>
        <rFont val="Arial"/>
        <color rgb="FF1155CC"/>
        <u/>
      </rPr>
      <t>here</t>
    </r>
    <r>
      <rPr>
        <rFont val="Arial"/>
        <color rgb="FF191919"/>
      </rPr>
      <t xml:space="preserve"> to find out about the travel health insurances accepted.</t>
    </r>
  </si>
  <si>
    <t>SR.No.</t>
  </si>
  <si>
    <t xml:space="preserve">University </t>
  </si>
  <si>
    <t>Location</t>
  </si>
  <si>
    <t xml:space="preserve">Course </t>
  </si>
  <si>
    <t>Course
 language</t>
  </si>
  <si>
    <t>No of 
Sem</t>
  </si>
  <si>
    <t>Intake</t>
  </si>
  <si>
    <t>Application
 Start Date</t>
  </si>
  <si>
    <t>Application 
Deadline</t>
  </si>
  <si>
    <t>Fees</t>
  </si>
  <si>
    <t>Semester 
Contributions</t>
  </si>
  <si>
    <t>IELTS
 Score</t>
  </si>
  <si>
    <t>TOEFL 
Score</t>
  </si>
  <si>
    <t>German
 Language</t>
  </si>
  <si>
    <t>GRE/GATE</t>
  </si>
  <si>
    <t>Work experience</t>
  </si>
  <si>
    <t>Application 
Via</t>
  </si>
  <si>
    <t>Website 
Link</t>
  </si>
  <si>
    <t>Documents 
required</t>
  </si>
  <si>
    <t>Bachelors accepted
 for this course</t>
  </si>
  <si>
    <t>German GPA 
required</t>
  </si>
  <si>
    <t xml:space="preserve">APS Required 
with Application </t>
  </si>
  <si>
    <t>TU Bergakademie Freiberg</t>
  </si>
  <si>
    <t>Freiberg</t>
  </si>
  <si>
    <t>Mechanical and Process Engineering</t>
  </si>
  <si>
    <t xml:space="preserve">English </t>
  </si>
  <si>
    <t xml:space="preserve">Winter </t>
  </si>
  <si>
    <t>Winter - 01 January</t>
  </si>
  <si>
    <t>Winter - 15 April</t>
  </si>
  <si>
    <t>None</t>
  </si>
  <si>
    <t xml:space="preserve">approx 94 EUR per semester </t>
  </si>
  <si>
    <t>6.5 Band</t>
  </si>
  <si>
    <t>90 points (Internet-based test)</t>
  </si>
  <si>
    <t>A1 recommend but not required</t>
  </si>
  <si>
    <t>GMAT or GRE</t>
  </si>
  <si>
    <t xml:space="preserve">not required </t>
  </si>
  <si>
    <t xml:space="preserve">University Portal </t>
  </si>
  <si>
    <t>https://tu-freiberg.de/en/master-mechanical-and-process-engineering</t>
  </si>
  <si>
    <t>•Certified copies of official transcripts and diplomas
•Proof of English language proficiency 
•Curriculum vitae
•Letter recommendation
•Letter of motivation
•German language proficiency certificate if have.</t>
  </si>
  <si>
    <t>Bachelor in mechanical engineering, process engineering or similar</t>
  </si>
  <si>
    <t xml:space="preserve">not mentioned </t>
  </si>
  <si>
    <t xml:space="preserve">Not required </t>
  </si>
  <si>
    <t>Rhine-Waal University of Applied Sciences</t>
  </si>
  <si>
    <t>Kleve</t>
  </si>
  <si>
    <t>Mechanical Engineering, MSc</t>
  </si>
  <si>
    <t>English</t>
  </si>
  <si>
    <t xml:space="preserve">Winter &amp; Summer </t>
  </si>
  <si>
    <t xml:space="preserve">Winter - Not Mentioned 
Summer -  Not Mentioned </t>
  </si>
  <si>
    <t xml:space="preserve">Winter -  15 July
Summer -  15 January </t>
  </si>
  <si>
    <t>approx. 310 EUR (per semester)</t>
  </si>
  <si>
    <t xml:space="preserve">C1 level </t>
  </si>
  <si>
    <t>GRE score: Q = 160, V =145, and A = 4.5 
or GATE</t>
  </si>
  <si>
    <t>Uniassist</t>
  </si>
  <si>
    <t>https://www.hochschule-rhein-waal.de/en/faculties/technology-and-bionics/degree-programmes/mechanical-engineering-msc</t>
  </si>
  <si>
    <t>•Certified copies of official transcripts and diplomas
•Proof of English language proficiency 
•Curriculum vitae
•Letter recommendation
•Letter of motivation
•Module handbook or a description of the courses in your undergraduate studies
• Aptitude test for International Students any 1 certificate from below:
  ◇ TestAS (minimum combined score of 100 for the core test and the engineering test)
  ◇ Graduate Aptitude Test in Engineering (GATE) with a score of 80% (or the corresponding percentile rank for the year) in the areas defined in the annex or
  ◇ Graduate Record Examination (GRE) with a score of at least 85% (or the corresponding percentile rank for the year)</t>
  </si>
  <si>
    <t>at least 210 ECTS points or, ideally, a total study time of seven full-time semesters (for Bachelor's graduates with less than 210 ECTS points, entry requirements can be secured by taking defined modules)</t>
  </si>
  <si>
    <t>Rosenheim Technical University of Applied Sciences </t>
  </si>
  <si>
    <t>Rosenheim</t>
  </si>
  <si>
    <t>MEng in Mechanical Engineering and Plastics Engineering</t>
  </si>
  <si>
    <t xml:space="preserve">Winter - 01 April
Summer -  01 November </t>
  </si>
  <si>
    <t xml:space="preserve">Winter - 15 June
Summer -  15 December </t>
  </si>
  <si>
    <t>approx. 75 EUR per semester</t>
  </si>
  <si>
    <t>6 Band</t>
  </si>
  <si>
    <t>TOEFL classical: 550, computer: 213, 
Internet: 84</t>
  </si>
  <si>
    <t>A2 level</t>
  </si>
  <si>
    <t>Vpd &amp; Portal</t>
  </si>
  <si>
    <t>https://www.th-rosenheim.de/en/studies-and-further-education/courses-of-study/masters-degree-programmes/masters-degree-programme-in-engineering-sciences</t>
  </si>
  <si>
    <t>•Certified copies of official transcripts and diplomas
•Proof of English language proficiency 
•Curriculum vitae
•Letter recommendation
•Letter of motivation
•German language proficiency certificate</t>
  </si>
  <si>
    <t>Bachelor’s degree in Electrical Engineering and Information Technology, Mechatronics, Mechanical Engineering, Plastics Engineering or an equivalent technical/economic degree or engineering degree, or an equivalent qualification</t>
  </si>
  <si>
    <t>Good</t>
  </si>
  <si>
    <t xml:space="preserve">Hochschule Dusseldorf University of Applied Sciences </t>
  </si>
  <si>
    <t>Dusseldorf</t>
  </si>
  <si>
    <t xml:space="preserve">Mechanical Engineering </t>
  </si>
  <si>
    <t xml:space="preserve">Winter - 15 May
Summer -  15 November </t>
  </si>
  <si>
    <t xml:space="preserve">Not Mentioned </t>
  </si>
  <si>
    <t xml:space="preserve">B2 Level </t>
  </si>
  <si>
    <t xml:space="preserve">Uniassist </t>
  </si>
  <si>
    <t>https://mv.hs-duesseldorf.de/study-programmes/master-mechanical-engineering</t>
  </si>
  <si>
    <t>•Certified copies of official transcripts and diplomas
•Proof of English language proficiency 
•APS certificate 
•Curriculum vitae
•Letter recommendation
•Letter of motivation</t>
  </si>
  <si>
    <t>bachelor’s or 'Diplom' programme in the area of product development and production, process, energy and environmental technology or mechanical and/or process engineering</t>
  </si>
  <si>
    <t xml:space="preserve">Required </t>
  </si>
  <si>
    <t xml:space="preserve">Technische Hochschule Lübeck </t>
  </si>
  <si>
    <t>Lübeck</t>
  </si>
  <si>
    <t xml:space="preserve">Winter -  01 April 
Summer -  01 October </t>
  </si>
  <si>
    <t>Winter -  01 June
Summer -   01 December</t>
  </si>
  <si>
    <t>approx. 270 EUR per semester</t>
  </si>
  <si>
    <t>B1 level required but with A2 you get conditional admission</t>
  </si>
  <si>
    <t>https://www.th-luebeck.de/studium/studienangebot/studiengaenge/mechanical-engineering-msc/uebersicht/</t>
  </si>
  <si>
    <t>A successfully completed technical degree, preferably in mechanical engineering with 210 ECTS</t>
  </si>
  <si>
    <t xml:space="preserve">Kaiserslautern University of Applied Sciences </t>
  </si>
  <si>
    <t>Kaiserslautern</t>
  </si>
  <si>
    <t>Mechanical Engineering/Mechatronics (MEng)</t>
  </si>
  <si>
    <t>German and English (Students can complete the course entirely in English or in a combination of English and German)</t>
  </si>
  <si>
    <t xml:space="preserve">Winter -  31 May
Summer -  01 December </t>
  </si>
  <si>
    <t xml:space="preserve">approx. 250 EUR per semester </t>
  </si>
  <si>
    <t>A2  level (This also applies if only English-taught modules are chosen.)</t>
  </si>
  <si>
    <t>3 years</t>
  </si>
  <si>
    <t>https://www.hs-kl.de/en/angewandte-ingenieurwissenschaften/studiengaenge/master/mechanical-engineeringmechatronics</t>
  </si>
  <si>
    <t>•Certified copies of official transcripts and diplomas
•Proof of English language proficiency 
•Work Experience (Applicants with a Bachelor’s degree completed in India require an additional 3 years of professional experience and a degree “with distinction)
•Curriculum vitae
•Letter recommendation
•Letter of motivation
•German language proficiency certificate</t>
  </si>
  <si>
    <t>1) Bachelor's degree (210 ECTS) in mechanical engineering
mechatronics, industrial engineering with a specialization in mechanical engineering, or an equivalent qualification.
2) Applicants with a degree of 180 ECTS (six semesters, three years) will require additional courses/credits of in total 30 ECTS before the start of their Master's thesis. </t>
  </si>
  <si>
    <t xml:space="preserve">Esslingen University of Applied Sciences </t>
  </si>
  <si>
    <t>Esslingen am Neckar</t>
  </si>
  <si>
    <t>Design and Development in Automotive and Mechanical Engineering</t>
  </si>
  <si>
    <t>Winter -  02 November</t>
  </si>
  <si>
    <t>Winter -  31 March</t>
  </si>
  <si>
    <t>1500 EUR per semester</t>
  </si>
  <si>
    <t>approx 210 EUR per semester</t>
  </si>
  <si>
    <t>TOEFL- 213 Computer based, 550 paper-based , 71 Internet-based</t>
  </si>
  <si>
    <t>A1 level upon arrival
A2 level before the end of the second semester</t>
  </si>
  <si>
    <t>https://www.hs-esslingen.de/en/international/coming-to-esslingen-uas/international-masters-programmes/master-degree-programmes/design-and-development-for-mechanical-and-automotive-engineering-master/</t>
  </si>
  <si>
    <t>All the documents should be upload in Form Format. All Form is available on website.
•original or certified copies of official transcripts and diplomas
•proof of English language proficiency (TOEFL, IELTS)
•APS certificate (applicants who graduated from a university in PR China, Vietnam, Mongolia and India)
•curriculum vitae
•letter recommendation 1 and letter recommendation 2
•letter of motivation
•German language proficiency certificate
•certificate of work experience, if applicable
•transcript evaluation form</t>
  </si>
  <si>
    <t>Bachelor’s degree in a relevant field for the master programme. 
PREREQUISITES:
CAD (Pro/E or CATIA): 5CP
Design/Machine Elements: 15CP
Strength of Materials/Mechanics: 10CP
Mathematics: 8CP</t>
  </si>
  <si>
    <t xml:space="preserve">Hamburg University of Technology </t>
  </si>
  <si>
    <t>Hamburg</t>
  </si>
  <si>
    <t>Mechanical Engineering and Management</t>
  </si>
  <si>
    <t>German/English</t>
  </si>
  <si>
    <t>Winter</t>
  </si>
  <si>
    <t>Winter -  01 December</t>
  </si>
  <si>
    <t>Winter -  01 March</t>
  </si>
  <si>
    <t xml:space="preserve">approx. 340 EUR per semester </t>
  </si>
  <si>
    <t xml:space="preserve">TOEFL -Not accepted </t>
  </si>
  <si>
    <t>1) Pre-Check
2) University Portal</t>
  </si>
  <si>
    <t>https://www.tuhh.de/tuhh/en/studying/before-studying/degree-courses/international-study-programs/mechanical-engineering-and-management</t>
  </si>
  <si>
    <t>•Certified copies of official transcripts and diplomas
•Proof of English language proficiency 
•APS certificate (All applicants with a school or university degree from China, India or Vietnam, regardless of their nationality, have to submit an APS certificate with their application for admission!)
•Curriculum vitae
•Letter recommendation
•Letter of motivation
•German language proficiency certificate</t>
  </si>
  <si>
    <t>Bachelor of Science with profound theoretical basics in mathematics, mechanics, fluid dynamics and some thermodynamics. Also good knowledge in programming and software design</t>
  </si>
  <si>
    <t xml:space="preserve">RWTH Aachen University </t>
  </si>
  <si>
    <t>Aachen</t>
  </si>
  <si>
    <t>Computer-Aided Conception and Production in Mechanical Engineering</t>
  </si>
  <si>
    <t>Winter - 02 December</t>
  </si>
  <si>
    <t>Winter - 01 March</t>
  </si>
  <si>
    <t xml:space="preserve">5500 EUR per semester </t>
  </si>
  <si>
    <t xml:space="preserve">approx. 300 EUR per semester </t>
  </si>
  <si>
    <t xml:space="preserve">5.5 Band </t>
  </si>
  <si>
    <t>TOEFL IBT-90 points</t>
  </si>
  <si>
    <t xml:space="preserve">not required but Recommend </t>
  </si>
  <si>
    <t>GRE General Test (Verbal Reasoning: 145 points | Quantitative Reasoning: 160 points | Analytical Writing: 3 points)</t>
  </si>
  <si>
    <t>6 month Work Experience - At time of application 
1 year Experience- at time of enrolment</t>
  </si>
  <si>
    <t>https://www.academy.rwth-aachen.de/en/programs/masters-degree-programs/detail/msc-computer-aided-conception-and-production-in-mechanical-engineering?utm_source=daad&amp;utm_medium=portal&amp;utm_campaign=intake</t>
  </si>
  <si>
    <t>•Certified copies of official transcripts and diplomas
•Proof of English language proficiency 
•Curriculum vitae
•Letter recommendation
•Letter of motivation
•Module handbook or a description of the courses in your undergraduate studies
•.Certificate of Work Experience.</t>
  </si>
  <si>
    <t>Bachelor of Engineering, Bachelor of Technology or Bachelor of Science in mechanical engineering or a related discipline (e.g. automotive, aerospace, energy, manufacturing, structural, industrial, or production engineering)</t>
  </si>
  <si>
    <t xml:space="preserve">University of Duisburg-Essen </t>
  </si>
  <si>
    <t>Duisburg</t>
  </si>
  <si>
    <t>Mechanical Engineering</t>
  </si>
  <si>
    <t>German &amp; English</t>
  </si>
  <si>
    <t xml:space="preserve">Winter  - Not Mentioned 
Summer - 01 November </t>
  </si>
  <si>
    <t xml:space="preserve">Winter - Not Mentioned 
Summer - 15 January </t>
  </si>
  <si>
    <t>approx 350 EUR per semester</t>
  </si>
  <si>
    <t>University Portal</t>
  </si>
  <si>
    <t>https://www.uni-due.de/iw/en/study/m-me.php</t>
  </si>
  <si>
    <t xml:space="preserve">Equivalent degree from another university </t>
  </si>
  <si>
    <t xml:space="preserve">Otto von Guericke University Magdeburg </t>
  </si>
  <si>
    <t>Magdeburg</t>
  </si>
  <si>
    <t>Biomechanical Engineering</t>
  </si>
  <si>
    <t xml:space="preserve">Winter - Not Mentioned </t>
  </si>
  <si>
    <t>Winter - 15 July</t>
  </si>
  <si>
    <t>approx 155.20 EUR per semester</t>
  </si>
  <si>
    <t>https://www.bime.ovgu.de/Prospective+students.html</t>
  </si>
  <si>
    <t>•Certified copies of official transcripts and diplomas
•Proof of English language proficiency 
•Curriculum vitae
•Letter recommendation
•Letter of motivation</t>
  </si>
  <si>
    <t>bachelor's degree in mechanical engineering, industrial engineering, medical engineering, process engineering and many others.</t>
  </si>
  <si>
    <t>Esslingen University of Applied Sciences</t>
  </si>
  <si>
    <t>Automotive Systems</t>
  </si>
  <si>
    <t xml:space="preserve">Winter- 02 November </t>
  </si>
  <si>
    <t>Winter- 31 March</t>
  </si>
  <si>
    <t xml:space="preserve">1,500 EUR per semester </t>
  </si>
  <si>
    <t>approx 167 EUR per semester</t>
  </si>
  <si>
    <t>6.5 band</t>
  </si>
  <si>
    <t>530 paper-based,197computer-based, 71 internet-based</t>
  </si>
  <si>
    <t>https://www.hs-esslingen.de/en/international/coming-to-esslingen-uas/international-masters-programmes/master-degree-programmes/automotive-systems-master/</t>
  </si>
  <si>
    <t>•certified copies of official transcripts and diplomas
•proof of English language proficiency 
•APS certificate 
•transcript evaluation form (download from website)
•curriculum vitae (download from website)
•letter of motivation (download from website)
•certificate of work experience, if applicable
•letter recommendation 1 and letter recommendation 2 (download form from website)
•Important: It is your responsibility to provide your recommenders your application number together with the recommendation form to be filled. Please, forward the recommendations to: asm.application@hs-esslingen.de
•Additional requirement to be submitted upon arrival in September: German language proficiency certificate (level CEFr Level A1)</t>
  </si>
  <si>
    <t>Bachelor’s Degree in:
Automotive / Mechanical Engineering (for Vehicle Systems)
Information Technology / Electrical Engineering (for Automotive IT)</t>
  </si>
  <si>
    <t>RWTH Aachen University</t>
  </si>
  <si>
    <t>Automotive Engineering (MSc)</t>
  </si>
  <si>
    <t xml:space="preserve">Winter - 01 December </t>
  </si>
  <si>
    <t xml:space="preserve">Winter - 01 March </t>
  </si>
  <si>
    <t>approx 300 EUR per semester</t>
  </si>
  <si>
    <t>5.5 band</t>
  </si>
  <si>
    <t>90 points internet based</t>
  </si>
  <si>
    <t>GRE- Verbal Reasoning 145, Quantitative Reasoning 160, Analytical Writing 3.</t>
  </si>
  <si>
    <t>https://www.ika.rwth-aachen.de/en/studies/study-programs/automotive-engineering-msc.html</t>
  </si>
  <si>
    <t>•Only for non-EU students : Copy of GRE test certificate
•Proof of English language skills
•Copy of university completion certificate (degree certificate)
•Module descriptions / diploma supplement / module catalogue
•Tabular resume / CV
•Copy of transcript of records</t>
  </si>
  <si>
    <t>Bachelor's degree (or equivalent) in mechanical engineering or automotive engineering (minimum seven semesters)</t>
  </si>
  <si>
    <t>Chemnitz University of Technology</t>
  </si>
  <si>
    <t>Chemnitz</t>
  </si>
  <si>
    <t>Automotive Software Engineering</t>
  </si>
  <si>
    <t>German or English</t>
  </si>
  <si>
    <t xml:space="preserve">Winter - 1 October 2023
Summer -  02 January </t>
  </si>
  <si>
    <t>Winter -  15 January 2024
Summer -  15 January</t>
  </si>
  <si>
    <t xml:space="preserve">approx 280 EUR per semester </t>
  </si>
  <si>
    <t>72 points internet Based , 543 points Paper based test</t>
  </si>
  <si>
    <t>A2 level by the end of the third semester</t>
  </si>
  <si>
    <t>https://www.tu-chemnitz.de/informatik/studium/studiengaenge/index.php.en?page=ma_ase</t>
  </si>
  <si>
    <t>•Certified copies of official transcripts and diplomas
•Proof of English language proficiency 
•Curriculum vitae
•Letter recommendation
•Letter of motivation
•APS Certificate 
•German Proficiency A2 level by the end of the third semester.</t>
  </si>
  <si>
    <t>Bachelor's degree in one of the following:
Applied Computer Science
Computer Science
•Computer Science &amp; Engineering
Information Science &amp; Engineering
Information Technology
Computer Engineering
Computer Hardware
Electronics &amp; Communication Engineering (with significant selection of computer science lectures)
Computer &amp; Communication Engineering (with significant selection of computer science lectures)
Electronics &amp; Telecommunication Engineering (with significant selection of computer science lectures)</t>
  </si>
  <si>
    <t>Technische Hochschule Ingolstadt</t>
  </si>
  <si>
    <t>Ingolstadt</t>
  </si>
  <si>
    <t>Master's in Automotive Production Engineering (MAPE)</t>
  </si>
  <si>
    <t xml:space="preserve">Summer </t>
  </si>
  <si>
    <t xml:space="preserve">Summer- 15 November </t>
  </si>
  <si>
    <t xml:space="preserve">Summer- 15 January </t>
  </si>
  <si>
    <t>approx 67 EUR per semester</t>
  </si>
  <si>
    <t>6 band</t>
  </si>
  <si>
    <t xml:space="preserve"> 530 paper-based, 197 computer-based, 71 Internet-based</t>
  </si>
  <si>
    <t xml:space="preserve">Vpd &amp; Portal </t>
  </si>
  <si>
    <t>https://www.thi.de/en/mechanical-engineering/degree-programmes/automotive-production-engineering-meng/</t>
  </si>
  <si>
    <t>copy of bachelor degree certificate including complete transcipt of records and diploma supplement (the latter if available)
copy of current transcript of records in case studies are not completed yet (important: the transcript has to be up-to-date, otherwise audit can be rejected)
CV (illustration of education - school career)
Copy of personal ID or passport
Proof of a name change (e.g. copy of the marriage certificate) if the proof of education is not issued in the current name
APS certificate (in case the Bachelor Degree was absolved in China, Mongolia, India or Vietnam)
VPD 
English proficiency certificate</t>
  </si>
  <si>
    <t>Bachelor's degree in:- production engineering, mechanical engineering, industrial engineering, planning or technology, mechatronics, automation technology or equivalent </t>
  </si>
  <si>
    <t>International Automotive Engineering (MEng)</t>
  </si>
  <si>
    <t xml:space="preserve">Winter - 02 May
Summer -  15 November </t>
  </si>
  <si>
    <t xml:space="preserve">Winter - 15 July
Summer -  15 January </t>
  </si>
  <si>
    <t xml:space="preserve">A1 level recommended </t>
  </si>
  <si>
    <t>practical experience (comparable to an internship semester) in the field of design or testing of mechatronic systems for vehicles</t>
  </si>
  <si>
    <t>https://www.thi.de/elektro-und-informationstechnik/studiengaenge/international-automotive-engineering-meng/</t>
  </si>
  <si>
    <t>Selection for Admission: Aptitude Test
copy of bachelor degree certificate including complete transcipt of records and diploma supplement (the latter if available)
copy of current transcript of records in case studies are not completed yet (important: the transcript has to be up-to-date, otherwise audit can be rejected)
CV (illustration of education - school career)
Copy of personal ID or passport
Proof of a name change (e.g. copy of the marriage certificate) if the proof of education is not issued in the current name
APS certificate (in case the Bachelor Degree was absolved in China, Mongolia, India or Vietnam)
VPD 
English proficiency certificate
German A1 strongly recommended but not required</t>
  </si>
  <si>
    <t>Bachelor's degree (or equivalent) in an engineering discipline or in computer science</t>
  </si>
  <si>
    <t xml:space="preserve">FH Aachen University of Applied Sciences </t>
  </si>
  <si>
    <t>Master of Science in International Automotive Engineering</t>
  </si>
  <si>
    <t xml:space="preserve">Winter - 31 May
Summer - 30 November </t>
  </si>
  <si>
    <t xml:space="preserve">None </t>
  </si>
  <si>
    <t>92 points Internet-based, 580 points Paper-based</t>
  </si>
  <si>
    <t>GRE - 81st percentile</t>
  </si>
  <si>
    <t>https://www.fh-aachen.de/en/studies/degree-programmes/international-automotive-engineering-msc</t>
  </si>
  <si>
    <t>•APS Certificate 
•Bachelor's Transcript 
•Bachelor's Degree Certificate 
•GRE 
•English Proficiency Certificate 
•German level A2 knowledge of the language. Certificates from the Goethe Institute are recognised without further assessment by the Registrar's Office.
However, the "Zertifikat Deutsch" at level B1 is required for registering the Master's thesis.</t>
  </si>
  <si>
    <t>Bachelor's degree (BEng) from a degree programme in "Fahrzeug- und Antriebstechnik oder Maschinenbau" (Automotive and Drive Engineering or Mechanical Engineering) with respective specialisations
Diplom degree (Dipl-Ing FH or TU/TH) from a degree programme in "Fahrzeug- und Antriebstechnik oder Maschinenbau" (Automotive and Drive Engineering or Mechanical Engineering) with respective specialisations.</t>
  </si>
  <si>
    <t>University of Applied Sciences Ravensburg-Weingarten</t>
  </si>
  <si>
    <t>Weingarten</t>
  </si>
  <si>
    <t>Mechatronics</t>
  </si>
  <si>
    <t xml:space="preserve">approx 1500 EUR per semester </t>
  </si>
  <si>
    <t>approx 190 EUR per semester</t>
  </si>
  <si>
    <t>iBT - 70</t>
  </si>
  <si>
    <t>not required</t>
  </si>
  <si>
    <t>GRE -Quantitative Reasoning 161 points</t>
  </si>
  <si>
    <t>1 year</t>
  </si>
  <si>
    <t>https://www.rwu.de/en/study/courses/mechatronics-en</t>
  </si>
  <si>
    <t>•Original signed Application Form
•A true Certified Copy of your final or provisional Bachelor’s Degree in English or German
•A true Certified Copy of your final or penultimate Academic Transcripts, including your university’s grading system
•Normal Copy of your Higher Secondary Education Certificate
•English Language Certificate (TOEFL iBT, IELTS) - no older than 2 years! Medium of Instruction Certificates are not accepted!
•Curriculum Vitae (CV)
•Normal Copy of your Passport (for the verification of names, date of birth and place of birth)
•Motivation Letter/ Statement of Purpose (Why do you intend to study Mechatronics at the RWU?)
•If applicable:  Applicants from India, China or Vietnam: Normal Copy of APS Certificate
•If applicable: German Language Certificate
•If applicable: Graduate Record Examination (GRE) Score Report
•Programming Certificates (Proof of Knowledge in C, C++, C#, Java, Julia, MATLAB, Python or Rust)
•If applicable: Recommendation Letters (Proof of relevant Work Experience)
•If applicable: Publications (Proof of Professional/ Research Activities</t>
  </si>
  <si>
    <t>Bachelor degree in mechanical or electrical engineering, computer science or similar subject</t>
  </si>
  <si>
    <t>Hamburg University of Technology</t>
  </si>
  <si>
    <t xml:space="preserve">approx 300 EUR per semester </t>
  </si>
  <si>
    <t>577 (paper-based) / 90 (internet-based)</t>
  </si>
  <si>
    <t>https://www.tuhh.de/tuhh/en/studying/before-studying/degree-courses/international-study-programs/mechatronics</t>
  </si>
  <si>
    <t>•APS certificate
•Proof of English
•Official explanation of the university grading system
•Complete university transcript of record  
•Bachelor's degree certificate 
•Curriculum vitae / résumé</t>
  </si>
  <si>
    <t>Bachelor's degree in Mechatronics or Mechanical Engineering</t>
  </si>
  <si>
    <t>University of Siegen </t>
  </si>
  <si>
    <t>Siegen</t>
  </si>
  <si>
    <t>Winter - 30 April</t>
  </si>
  <si>
    <t xml:space="preserve">approx 330 EUR per semester </t>
  </si>
  <si>
    <t>Internet-based - 88 points</t>
  </si>
  <si>
    <t>https://www.mechatronics.eti.uni-siegen.de/</t>
  </si>
  <si>
    <t>•Proof of English
•Official explanation of the university grading system
•Complete university transcript of record  
•Bachelor's degree certificate 
•Curriculum vitae / résumé
•Statement of Purpose 
•Letter of Recommendation</t>
  </si>
  <si>
    <t>Bachelor of Science in an engineering</t>
  </si>
  <si>
    <t>FH Aachen University of Applied Sciences</t>
  </si>
  <si>
    <t>Master of Science in Mechatronics</t>
  </si>
  <si>
    <t>German, English</t>
  </si>
  <si>
    <t>Winter - 15 May</t>
  </si>
  <si>
    <t>Winter - 30 June</t>
  </si>
  <si>
    <t>approx 305.23 EUR per semester</t>
  </si>
  <si>
    <t>550 paper-based test, 213 computer-based test, 79 Internet-based test</t>
  </si>
  <si>
    <t xml:space="preserve">B1 level </t>
  </si>
  <si>
    <t xml:space="preserve">GRE Required </t>
  </si>
  <si>
    <t>https://www.fh-aachen.de/en/studies/degree-programmes/mechatronics-msc</t>
  </si>
  <si>
    <t>•Bachelor's degree 
•You may apply with preliminary documents if you have not yet completed your Bachelor's degree
•GRE
•Proof of German language 
•Proof of English language </t>
  </si>
  <si>
    <t>Bachelor's degree in mechanical engineering, electrical engineering, mechatronics, physics or related fields</t>
  </si>
  <si>
    <t>Schmalkalden University of Applied Sciences</t>
  </si>
  <si>
    <t>Schmalkalden</t>
  </si>
  <si>
    <t>Mechatronics and Robotics (MEng)</t>
  </si>
  <si>
    <t xml:space="preserve">Winter - 15 January </t>
  </si>
  <si>
    <t>approx 130 EUR per semester</t>
  </si>
  <si>
    <t>IBT - 80</t>
  </si>
  <si>
    <t>https://www.hs-schmalkalden.de/en/studying/programmes/master-degree-courses/mechatronics-and-robotics</t>
  </si>
  <si>
    <t>•The Printed Version of the Application Form including filled and signed Annexes
•An Officially certified Copy of your University Degree(s) including Transcript and certified Translation into English or German
•A Proof of Level of English Language
•A Curriculum Vitae 
•APS Certificate 
•A Copy of the University Entrance Qualification (highest School Leaving Certificate)
•A Copy of your Birth Certificate or of your Passport</t>
  </si>
  <si>
    <t>Bachelor's degree in mechanical engineering, mechatronics, electrical engineering, or a similar subject </t>
  </si>
  <si>
    <t>Deggendorf Institute of Technology</t>
  </si>
  <si>
    <t>Cham</t>
  </si>
  <si>
    <t>MEng Mechatronic and Cyber-Physical Systems</t>
  </si>
  <si>
    <t>Summer - 15 November</t>
  </si>
  <si>
    <t>Summer-  15 January</t>
  </si>
  <si>
    <t>approx 72 EUR student service fee per semester</t>
  </si>
  <si>
    <t xml:space="preserve">B2 level </t>
  </si>
  <si>
    <t xml:space="preserve">A2 level </t>
  </si>
  <si>
    <t>https://th-deg.de/mcs-cham-m-en</t>
  </si>
  <si>
    <t>•Aptitude assessment  
•GRE Required 
•A2 language level must be completed by the end of the studies
•English Proficiency Certificate 
•Certified Degree Certificate 
•Transcript of records &amp; Grade sheet</t>
  </si>
  <si>
    <t>Bachelor's  degree egree in fields of industrial engineering, technical physics, mechanical engineering, electrical engineering, mechatronics or a degree that is equivalent </t>
  </si>
  <si>
    <t>Hochschule Emden/Leer - University of Applied Sciences</t>
  </si>
  <si>
    <t>Emden</t>
  </si>
  <si>
    <t>Master's in Industrial Informatics</t>
  </si>
  <si>
    <t>Winter &amp; Summer</t>
  </si>
  <si>
    <t xml:space="preserve">Winter - 30 May
Summer -  30 November </t>
  </si>
  <si>
    <t>approx 270 EUR per semester</t>
  </si>
  <si>
    <t>https://www.hs-emden-leer.de/en/current-students/faculties/technology/study-programs/industrial-informatics-master</t>
  </si>
  <si>
    <t>•English Proficiency Certificate 
•Certified Degree Certificate 
•Transcript of records &amp; Grade sheet
•Letter of Recommendation 
•Statement of Purpose</t>
  </si>
  <si>
    <t>BA Electrical Engineering
BA Computer Science
BA Mechatronic Engineering</t>
  </si>
  <si>
    <t>Augsburg Technical University of Applied Sciences</t>
  </si>
  <si>
    <t>Augsburg</t>
  </si>
  <si>
    <t>Industrial Security and Safety</t>
  </si>
  <si>
    <t>English &amp; German (bilingual)</t>
  </si>
  <si>
    <t xml:space="preserve">Summer -  November 15 </t>
  </si>
  <si>
    <t>Summer - December 15</t>
  </si>
  <si>
    <t>TestDaF: at least level 4 in all exam parts</t>
  </si>
  <si>
    <t xml:space="preserve">required </t>
  </si>
  <si>
    <t xml:space="preserve">VPD &amp; Portal </t>
  </si>
  <si>
    <t>https://www.tha.de/en/Electrical-Engineering/Industrial-Safety-and-Security-MSc.html</t>
  </si>
  <si>
    <t>Bachelor's fields of technology and computer science or a business-related degree programme with a focus on technology </t>
  </si>
  <si>
    <t xml:space="preserve">Kiel University of Applied Sciences </t>
  </si>
  <si>
    <t>Kiel</t>
  </si>
  <si>
    <t>Industrial Engineering</t>
  </si>
  <si>
    <t xml:space="preserve">2,475 EUR per semester </t>
  </si>
  <si>
    <t xml:space="preserve">approx 274.90 EUR per semester </t>
  </si>
  <si>
    <t>IBT- 78</t>
  </si>
  <si>
    <t>https://www.kiel-mie.de/study-program</t>
  </si>
  <si>
    <t>•English Proficiency Certificate    
•APS Certificate  
•Certified Degree Certificate 
•Transcript of records &amp; Grade sheet
•Letter of Recommendation 
•Statement of Purpose
•1 year Proficiency Experience</t>
  </si>
  <si>
    <t>BACHELOR of ENGINEERING DEGREE (B.ENG.)
 or comparable academic degree in a technical /natural science</t>
  </si>
  <si>
    <t>Rosenheim Technical University of Applied Sciences</t>
  </si>
  <si>
    <t>Traunstein</t>
  </si>
  <si>
    <t>Advanced Industrial Engineering</t>
  </si>
  <si>
    <t>Winter - 01 April</t>
  </si>
  <si>
    <t>Winter - 15 June</t>
  </si>
  <si>
    <t>approx 85 EUR student union fee per semester</t>
  </si>
  <si>
    <t>IBT- 72</t>
  </si>
  <si>
    <t>https://www.th-rosenheim.de/en/studies-and-further-education/courses-of-study/masters-degree-programmes/advanced-industrial-engineering?mtm_campaign=DAAD%20International%20Programmes&amp;mtm_kwd=m-aie</t>
  </si>
  <si>
    <t>•curriculum vitae" form (which is available to download during the online application).
•Bachelor's certificate
•Proof of English language skills
•If available, a diploma supplement or transcript of records
•If applicable, evidence of the grading system for your first degree
•Proof of change of name, if necessary (e.g. marriage certificate)
•For applicants from India: Certificate of the Academic Evaluation Center (APS)
•German Proficiency Certificate</t>
  </si>
  <si>
    <t>Bachelor's degree in Industrial Engineering or an equivalent qualification</t>
  </si>
  <si>
    <t>Weihenstephan-Triesdorf University of Applied Sciences</t>
  </si>
  <si>
    <t>Freising</t>
  </si>
  <si>
    <t>International Management of Forest Industries</t>
  </si>
  <si>
    <t xml:space="preserve">Winter - 01 May
Summer -  01 December </t>
  </si>
  <si>
    <t xml:space="preserve">Winter - 15 July
Summer - 15 January </t>
  </si>
  <si>
    <t>approx. 150 EUR per semester</t>
  </si>
  <si>
    <t xml:space="preserve">A1 level </t>
  </si>
  <si>
    <t>https://www.hswt.de/studium/studienangebot/master/international-management-of-forest-industries</t>
  </si>
  <si>
    <t>•Certified Bachelor's Degree 
• Bachelor's Transcript 
•APS Certificate 
•English Proficiency Certificate 
•Proof of sufficient German language skills A1.This proof can also be provided during your studies and is therefore not necessary for enrollment.
• Bachelor's grade sheet</t>
  </si>
  <si>
    <t>Bachelor's degree in the fields of 
Forestry, Timber Industry, or Management of Renewable Energy.</t>
  </si>
  <si>
    <t>Heinrich Heine University Düsseldorf</t>
  </si>
  <si>
    <t>Düsseldorf</t>
  </si>
  <si>
    <t>Master of Science in Industrial Pharmacy</t>
  </si>
  <si>
    <t>Winter - 01 May</t>
  </si>
  <si>
    <t>iBT 80</t>
  </si>
  <si>
    <t>https://www.pharmazie.hhu.de/studium/master-of-science-industrial-pharmacy</t>
  </si>
  <si>
    <t>•Bachelor certificate
•In case you have not completed your bachelor program yet, an interim certificate with at least 80% of examination and study achievements has to be submitted instead. The total mark should be at least 2.5 according to the German system. The final grades for foreign applicants will be converted by the University Düsseldorf on the basis of the Modified Bavarian Formula. Please do not convert it yourself.
•Transcript of records-
If your transcript of record does not list credit points or credit hours you have to submit an additional document which list this information.
•Proof of English proficiency (eg IELTS (6.0) or TOEFL-iBT (80) certificate)
•APS certificate for students from China, Vietnam or India</t>
  </si>
  <si>
    <t>Bachelor's degree in pharmacy, pharmaceutics, biology, chemistry or engineering with a focus on processing technologies, or an equivalent or higher qualification.</t>
  </si>
  <si>
    <t>TU Dortmund University</t>
  </si>
  <si>
    <t>Dortmund</t>
  </si>
  <si>
    <t>Technomathematics (Industrial Mathematics)</t>
  </si>
  <si>
    <t>550 (paperbased)/ 215 (computer-based) / 79 (internet-based-</t>
  </si>
  <si>
    <t>https://studieren.mathematik.tu-dortmund.de/?page_id=329</t>
  </si>
  <si>
    <t>•Certified Bachelor's Degree 
• Bachelor's Transcript 
•English Proficiency Certificate 
• Bachelor's grade sheet
•Letter of Recommendation 
•Statement of Purpose</t>
  </si>
  <si>
    <t>Bachelor's in construction mechanics &amp; statics (civil engineering), chemistry, electrical engineering and information technology, computer science, physics, engineering mechanics (mechanical engineering) </t>
  </si>
  <si>
    <t xml:space="preserve">University of Bremen </t>
  </si>
  <si>
    <t>Bremen</t>
  </si>
  <si>
    <t>Industrial Mathematics and Data Analysis</t>
  </si>
  <si>
    <t xml:space="preserve">Winter - 01 March
Summer -  01 August </t>
  </si>
  <si>
    <t xml:space="preserve">Winter - 30 Arpil
Summer -  15 October </t>
  </si>
  <si>
    <t xml:space="preserve">approx 350 EUR per semester </t>
  </si>
  <si>
    <t>https://www.uni-bremen.de/en/fb3/studium-lehre/studienberatung-studienzentrum/studienzentrum-mathematik/bewerbung/application-and-admission</t>
  </si>
  <si>
    <t>Certificate of Bachelor degree or official academic transcript of your Bachelor studies. i.e. a list of successfully studied courses completed at your home university (inlcuding duration, final grades, graduation schedule)
•Detailed and current curriculum vitae (CV)
•Letter of Motivation 
•Proof of sufficient English language skills, in English
•Proof of sufficient German language skills, in German
•Any additional documents or relevant qualifications, such as internships or academic awards</t>
  </si>
  <si>
    <t xml:space="preserve">Bachelor (B.Sc.) degree in mathematics or a closely related discipline
</t>
  </si>
  <si>
    <t>Ostbayerische Technische Hochschule Amberg-Weiden</t>
  </si>
  <si>
    <t>Amberg</t>
  </si>
  <si>
    <t>Artificial Intelligence for Industrial Applications</t>
  </si>
  <si>
    <t xml:space="preserve">Winter - 01 May
Summer -  15 November </t>
  </si>
  <si>
    <t>72€ per semester</t>
  </si>
  <si>
    <t>https://www.oth-aw.de/en/studies/study-offers/study-programmes/master-degree-programs/artificial-intelligence-for-industrial-applications-mai/program-artificial-intelligence-for-industrial-applications/</t>
  </si>
  <si>
    <t>•Proof of German A2 can be submitted after your first year at the latest.
•English Proficiency Certificate 
•Bachelor's Certificate 
•Bachelor's Transcript</t>
  </si>
  <si>
    <t>Bachelor's in computer science (such as technical computer science, applied computer science, practical computer science, media computer science, medical computer science)</t>
  </si>
  <si>
    <t xml:space="preserve">Hof University of Applied Sciences </t>
  </si>
  <si>
    <t>Hof</t>
  </si>
  <si>
    <t>Software Engineering for Industrial Applications (MEng)</t>
  </si>
  <si>
    <t xml:space="preserve">Winter - 15 April 
Summer -  05 November </t>
  </si>
  <si>
    <t xml:space="preserve">Winter - 31 May
Summer -  30 November </t>
  </si>
  <si>
    <t xml:space="preserve">3,300 EUR per semester </t>
  </si>
  <si>
    <t>approx 125 EUR per semester</t>
  </si>
  <si>
    <t>https://www.hof-university.com/studying-at-hof-university/software-engineering-for-industrial-applications-meng.html</t>
  </si>
  <si>
    <t>•One year of work experience after graduation
•Motivation letter
•Bachelor's degree 
•English Proficiency Certificate 
•German Proficiency Certificate</t>
  </si>
  <si>
    <t>Bachelor's degree in software engineering</t>
  </si>
  <si>
    <t>Advanced Manufacturing</t>
  </si>
  <si>
    <t>Winter- 01 April</t>
  </si>
  <si>
    <t>Winter- 15 July</t>
  </si>
  <si>
    <t>ibt - 72 points</t>
  </si>
  <si>
    <t>A2 by the end of the third semester in Masters</t>
  </si>
  <si>
    <t>https://www.tu-chemnitz.de/mb/am/studiengang/</t>
  </si>
  <si>
    <t>•A2 by the end of the third semester in masters
•Bachelor's Degree Certificate include following points
•Special mathematical methods of engineering, totalling at least 18 ECTS which include the topics of Fourier transforms, regression calculation, probability, and mathematical statistics.
•Scientific and engineering data processing, totalling at least 12 ECTS which include the topics CAD, CAS, numerical simulation, and data acquisition as well as multi-physics simulation and practical experience.
•Metrology and control engineering, totalling at least 8 ECTS which include the topics of sensors, actuators and digital methods of manufacturing.
•New materials for engineering, totalling at least 8 LP which include the topics of polymers, metals, composites, matrix systems and functional properties.
•In-depth theoretical basics of engineering, totalling at least 12 ECTS which include the subjects of engineering mechanics, design, manufacturing, and fluid dynamics.
•Resource-efficient manufacturing concepts, totalling at least 8 ECTS which include the topics of technical and natural cycles and networks, system optimization and energy concepts.
•English Proficiency Certificate</t>
  </si>
  <si>
    <t>Bachelor's in an engineering or natural science degree programme and, additionally, in-depth scientific knowledge</t>
  </si>
  <si>
    <t>Master of Science in Manufacturing Technology (MMT)</t>
  </si>
  <si>
    <t xml:space="preserve">Winter - 01 February </t>
  </si>
  <si>
    <t>Winter - 15 March</t>
  </si>
  <si>
    <t xml:space="preserve">ibt-97 points </t>
  </si>
  <si>
    <t xml:space="preserve">recommended </t>
  </si>
  <si>
    <t>https://mb.tu-dortmund.de/studium/studiengaenge/msc-manufacturing-technology/</t>
  </si>
  <si>
    <t>•APS
•Bachelor's Degree 
•Transcript of records 
•English Proficiency Certificate 
•GRE not Required but recommended
•School Reports 
•CV (Form provided on website)
•Motivation Letter 
•3 Letter of Recommendation 
•Motivation letter for scholar- ship application
Optional, only if you wish to apply for a scholarship
• Please use the provided
form and upload it during the application process in Uniassist
•Official document explaining the grading system of your university/college
• Including the highest and low- est possible passing grade in your system 
• Please use the provided grading document. It must be signed and include the stamp of your university ad- ministration of the dean of your faculty/college
•Official document stating your ranking in class Official proof of one's ranking among the top 10% of the graduating class
• Please use the ranking document provided. It must be signed and include the stamp of your university ad- ministration of the dean of your faculty/college</t>
  </si>
  <si>
    <t>Bachelor's degree, eg in mechanical engineering, industrial engineering, or equivalent.</t>
  </si>
  <si>
    <t>Smart Production Engineering (SPE)</t>
  </si>
  <si>
    <t xml:space="preserve">Winter - 02 December </t>
  </si>
  <si>
    <t>5500 EUR</t>
  </si>
  <si>
    <t xml:space="preserve">ibt- 90 points </t>
  </si>
  <si>
    <t>GRE-Verbal Reasoning: 145 points
Quantitative Reasoning: 160 points
Analytical Writing: 3 points</t>
  </si>
  <si>
    <t>https://www.academy.rwth-aachen.de/en/programs/masters-degree-programs/detail/msc-smart-production-engineering?utm_source=daad&amp;utm_medium=portal&amp;utm_campaign=intake</t>
  </si>
  <si>
    <t>•Bachelor's Degree Certificate 
•Bachelor's Transcript 
•GRE
•English Proficiency Certificate 
•Work Experience</t>
  </si>
  <si>
    <t>Bachelor of Engineering, Bachelor of Technology or Bachelor of Science in mechanical engineering or a related discipline</t>
  </si>
  <si>
    <t>Systems Engineering in Manufacturing</t>
  </si>
  <si>
    <t xml:space="preserve">Winter- Not Mentioned </t>
  </si>
  <si>
    <t>Winter- 15 June</t>
  </si>
  <si>
    <t>approx. 128.50 EUR.</t>
  </si>
  <si>
    <t>7 Band</t>
  </si>
  <si>
    <t>ibt- 108 points</t>
  </si>
  <si>
    <t>https://www.ovgu.de/unimagdeburg/en/Study/Study+Programmes/Study+Programmes+in+English/Systems+Engineering+for+Manufacturing-p-54344.html</t>
  </si>
  <si>
    <t>degree in engineering or on a closely related field with an extend of at least 180 Credit Points (CP following ECTS) or six semesters.
The graduated degree has included (following ECTS)
- at least 25 CP in the competence field of natural sciences and informatics (including at least 10CP in mathematics, at least 5 CP in physics, and at least 5 CP in information sciences),
- at least 10 CP (ECTS) in design,
- at least 10 CP (ECTS) in engineering mechanics,
- at least 20 CP in the competence field of engineering sciences (including at least 5 CP in manufacturing technologies, at least 5 CP in material sciences), and
- at least 10 CP (ECTS) in economics,</t>
  </si>
  <si>
    <t>Biomedical Engineering</t>
  </si>
  <si>
    <t xml:space="preserve">ibt- 95 points </t>
  </si>
  <si>
    <t xml:space="preserve">quantitative part- 160 points </t>
  </si>
  <si>
    <t>https://www.rwth-aachen.de/cms/root/studium/Vor-dem-Studium/Studiengaenge/Liste-Aktuelle-Studiengaenge/Studiengangbeschreibung/~bokx/Biomedical-Engineering-M-Sc/?lidx=1&amp;mobile=1</t>
  </si>
  <si>
    <t>•Bachelor's Certificate Degree
•Bachelor's Transcript 
•Statement of Purpose 
•Letter of Recommendation 
•English Proficiency Certificate
•GRE</t>
  </si>
  <si>
    <t>Medicine, Bachelor of Science, Bachelor of Engineering or in a related study</t>
  </si>
  <si>
    <t xml:space="preserve">Hamburg University of Applied Sciences </t>
  </si>
  <si>
    <t>Biomedical Engineering (MSc)</t>
  </si>
  <si>
    <t xml:space="preserve">Winter - 01 June
Summer - 01 December </t>
  </si>
  <si>
    <t>approx 379 EUR student union fees</t>
  </si>
  <si>
    <t xml:space="preserve">ibt- 87 points </t>
  </si>
  <si>
    <t>https://www.haw-hamburg.de/en/study/degree-courses-a-z/study-courses-in-detail/course/courses/show/biomedical-engineering/Studieninteressierte/</t>
  </si>
  <si>
    <t>•Bachelor's Certificate Degree
•Bachelor's Transcript 
•English Proficiency Certificate
•GRE
•German Proficiency Certificate 
(Optional):-
•CV
•Statement of motivation
•Letter of recommendation from a university professor
•Proof of particular professional experience</t>
  </si>
  <si>
    <t>Bachelor's degree (in a related discipline)</t>
  </si>
  <si>
    <t>Biomedical Engineering, Master of Science</t>
  </si>
  <si>
    <t xml:space="preserve">Winter - 01 January </t>
  </si>
  <si>
    <t>approx 250 EUR per semester</t>
  </si>
  <si>
    <t>80 points iBT or 550 points PBT</t>
  </si>
  <si>
    <t>Steps:
1) Pre-Check with email 
2) Uniassist</t>
  </si>
  <si>
    <t>https://www.bme-master.com/biomedical-engineering.html</t>
  </si>
  <si>
    <t>•Bachelor's Certificate Degree
•Bachelor's Transcript 
•APS Certificate 
•Statement of Purpose 
•Letter of Recommendation 
•English Proficiency Certificate</t>
  </si>
  <si>
    <t>Bachelor’s degree) in :
biomedical engineering, medical technology, electrical engineering, electronics, information technology, mechanical engineering, mechatronics, physics, process engineering, or materials technology</t>
  </si>
  <si>
    <t>Technical University Munich</t>
  </si>
  <si>
    <t>Garching b. München</t>
  </si>
  <si>
    <t>Biomedical Engineering and Medical Physics</t>
  </si>
  <si>
    <t xml:space="preserve">Winter - 01 April
Summer - 01 September </t>
  </si>
  <si>
    <t>approx 147 EUR per semester</t>
  </si>
  <si>
    <t xml:space="preserve">ibt-80 points </t>
  </si>
  <si>
    <t xml:space="preserve">GRE required </t>
  </si>
  <si>
    <t>https://www.nat.tum.de/en/nat/studies/msc/bemp/</t>
  </si>
  <si>
    <t>•Bachelor's Certificate Degree
•Bachelor's Transcript 
•GMAT or GRE
•APS Certificate 
•Statement of Purpose 
•Letter of Recommendation 
•English Proficiency Certificate</t>
  </si>
  <si>
    <t>degree in an engineering or natural science-oriented</t>
  </si>
  <si>
    <t>Heidelberg University</t>
  </si>
  <si>
    <t>Mannheim</t>
  </si>
  <si>
    <t>Master of Science in Biomedical Engineering</t>
  </si>
  <si>
    <t>https://www.uni-heidelberg.de/en/study/all-subjects/biomedical-engineering</t>
  </si>
  <si>
    <t>Bachelor's Certificate Degree
Bachelor's Transcript 
Statement of Purpose 
Letter of Recommendation 
English Proficiency Certificate</t>
  </si>
  <si>
    <t>Bachelor's degree in physics, computer science, medical technology, biomedical engineering, or mathematics.</t>
  </si>
  <si>
    <t xml:space="preserve">Anhalt University of Applied Sciences </t>
  </si>
  <si>
    <t>Köthen / Anhalt</t>
  </si>
  <si>
    <t>Biomedical Engineering (BME)</t>
  </si>
  <si>
    <t>English or German</t>
  </si>
  <si>
    <t>approx 86 EUR per semester</t>
  </si>
  <si>
    <t xml:space="preserve">ibt-90 points </t>
  </si>
  <si>
    <t>DSH-2</t>
  </si>
  <si>
    <t>https://www.hs-anhalt.de/studieren/orientierung/studienangebot/detail/biomedical-engineering-master-of-science.html</t>
  </si>
  <si>
    <t>•letter of motivation
•pertinence of first university degree
•proficiency in English or German
•if necessary aptitude interview</t>
  </si>
  <si>
    <t>Bachelor or Master) in Biomedical Engineering, Medical Engineering, Electrical and Computer Engineering</t>
  </si>
  <si>
    <t>Biomedical Systems Engineering – Master's Study Programme</t>
  </si>
  <si>
    <t xml:space="preserve">Winter - Not Mentioned 
Summer - Not Mentioned </t>
  </si>
  <si>
    <t xml:space="preserve">Winter - 01 March 
Summer - 01 September </t>
  </si>
  <si>
    <t>approx 320 EUR per semester</t>
  </si>
  <si>
    <t>https://www.elektrotechnik.rwth-aachen.de/cms/Elektrotechnik-und-Informationstechnik/Studium/Master-Studiengaenge/Master-of-Science/ENGLISCHSPRACHIG-Studiengang-Elektrote/Vertiefungsrichtungen-im-Master-ET-IT-/~qhis/Vertiefungsrichtung-Biomedical-Systems-E/?mobile=1&amp;lidx=1</t>
  </si>
  <si>
    <t>•Bachelor's Degree Certificate 
•Bachelor's Transcript 
•Bachelor's Module description &amp; Grade sheet 
•English Proficiency Certificate 
•GRE
•International students enrolled in this Master degree program are obliged to take German Language Courses at the RWTH Aachen University Language Center equivalent to 8 CP at minimum and show proof of their German language proficiency latest at the end of their study program in order to achieve the Master degree. Exempted from this rule are those international students who have already proof of German Language skills at Level B1 (or better) and can present an according document to the examination board for recognition.</t>
  </si>
  <si>
    <t>Bachelor of Science or Engineering or an equivalent academic degree</t>
  </si>
  <si>
    <t>Sustainable Mining and Remediation Management (MoRe)</t>
  </si>
  <si>
    <t>Winter - 01 January 
Summer - 01 July</t>
  </si>
  <si>
    <t xml:space="preserve">Winter - 15 April
Summer - 15 October </t>
  </si>
  <si>
    <t>https://tu-freiberg.de/en/master-sustainable-mining-and-remediation-management</t>
  </si>
  <si>
    <t>•Bachelor's Degree Certificate 
•Bachelor's Transcript 
•Bachelor's Module description &amp; Grade sheet 
•English Proficiency Certificate
•Secondary School</t>
  </si>
  <si>
    <t>Bachelor's degree (at least seven semesters) in geoengineering, mining, geoscience, or a related field</t>
  </si>
  <si>
    <t xml:space="preserve">Clausthal University of Technology </t>
  </si>
  <si>
    <t>Clausthal-Zellerfeld</t>
  </si>
  <si>
    <t>Mining Engineering (MSc)</t>
  </si>
  <si>
    <t xml:space="preserve">approx 200 EUR per semester </t>
  </si>
  <si>
    <t xml:space="preserve">ibt- 85 points </t>
  </si>
  <si>
    <t>https://www.tu-clausthal.de/en/prospective-students/degree-programs/masters/mining-engineering</t>
  </si>
  <si>
    <t>Applicants must hold a Bachelor's degree in Mining Engineering.</t>
  </si>
  <si>
    <t>European Mining Course (EMC)</t>
  </si>
  <si>
    <t>Winter- The exact date will be published in good time on the following website</t>
  </si>
  <si>
    <t xml:space="preserve">ibt- 92 points </t>
  </si>
  <si>
    <t>https://mre.rwth-aachen.de/en/education/european-mining-course-emc/?noredirect=en_US</t>
  </si>
  <si>
    <t>Bachelor's Degree Certificate 
•Bachelor's Transcript 
•Bachelor's Module description &amp; Grade sheet 
•English Proficiency Certificate
•Secondary School</t>
  </si>
  <si>
    <t>BSc in Engineering or in Geosciences such as in Mining Engineering, in Resource Engineering, in Geology in Earth Sciences or in Environmental Engineering</t>
  </si>
  <si>
    <t>University of Bremen</t>
  </si>
  <si>
    <t>Materials Chemistry and Mineralogy</t>
  </si>
  <si>
    <t xml:space="preserve">Winter- 01 December </t>
  </si>
  <si>
    <t xml:space="preserve">Winter- 28 February </t>
  </si>
  <si>
    <t xml:space="preserve">approx 400 EUR per semester </t>
  </si>
  <si>
    <t xml:space="preserve">B2.2 level </t>
  </si>
  <si>
    <t>https://www.geo.uni-bremen.de/page.php?pageid=1058</t>
  </si>
  <si>
    <t>•CV
•Letter of Recommendation 
•Statement of Purpose 
•Bachelor's Degree Certificate 
•Bachelor's Transcript 
•Bachelor's Module description &amp; Grade sheet 
•English Proficiency Certificate
•Secondary School</t>
  </si>
  <si>
    <t>Bachelor of Science (or a comparable qualification) in a field in natural science with a specialisation in chemistry, crystallography, materials science, or mineralogy</t>
  </si>
  <si>
    <t xml:space="preserve">TU Bergakademie Freiberg </t>
  </si>
  <si>
    <t>Geomatics for Mineral Resource Management (MGMRM)</t>
  </si>
  <si>
    <t>Winter- 15 April</t>
  </si>
  <si>
    <t>https://study-geomatics.eu/</t>
  </si>
  <si>
    <t>(BSc degree) in Min­ing, Mine Surveying, Tunnelling, Geodesy, Geoinformatics, Geosciences or Geotechnical Engineering. Students holding a BSc degree from outside of the core field of mining and mine surveying (e.g. Safety Engineering, Applied Geology, Industrial Engineering, etc.) </t>
  </si>
  <si>
    <t>Advanced Mineral Resources Development (AMRD)</t>
  </si>
  <si>
    <t xml:space="preserve">Winter- 31 January </t>
  </si>
  <si>
    <t xml:space="preserve">727 EUR per semester </t>
  </si>
  <si>
    <t>approx 19.20 EUR per semester</t>
  </si>
  <si>
    <t>https://tu-freiberg.de/en/master-advanced-mineral-resources-development</t>
  </si>
  <si>
    <t>Bachelor's degree (at least seven semesters) in mining engineering, geoengineering, applied geoscience, or a related field</t>
  </si>
  <si>
    <t>FAU Erlangen-Nürnberg</t>
  </si>
  <si>
    <t>Erlangen</t>
  </si>
  <si>
    <t>MSc Advanced Materials and Processes (MAP)</t>
  </si>
  <si>
    <t xml:space="preserve">Winter- 15 February </t>
  </si>
  <si>
    <t xml:space="preserve">approx 144 EUR per semester </t>
  </si>
  <si>
    <t>https://www.map.tf.fau.de/</t>
  </si>
  <si>
    <t xml:space="preserve">•Bachelor's Transcript 
•Bachelor's Degree 
•English Proficiency Certificate   
•APS Certificate </t>
  </si>
  <si>
    <t>Bachelor's degree in a MAP-related subject is required.</t>
  </si>
  <si>
    <t>MSc Mineral Resources Engineering – Repository Safety</t>
  </si>
  <si>
    <t xml:space="preserve">Winter - 01 March
Summer - 01 September </t>
  </si>
  <si>
    <t>https://www.rohstoffe.rwth-aachen.de/cms/rohstoffe-und-entsorgungstechnik/Die-Fachgruppe/Meldungen/~qhpf/Ausschreibung-fuer-eine-Bachelorarbeit/?lidx=1&amp;mobile=1</t>
  </si>
  <si>
    <t>Bachelor's in A minimum of 55 CP from engineering fundamentals:
- mathematics
- mechanics
- chemistry
- electrical engineering
- heat engineering
- machinery
- thermodynamics
- process engineering
- informatics
- technical drawing
At least 20 CP from the area of technical basics:
- raw materials technology / extraction
- raw materials / energy law
- processing methods
- recycling technology
- geology and mineralogy
- surveying technology
- environment and sustainability</t>
  </si>
  <si>
    <t>MSc Applied Geosciences – EMR</t>
  </si>
  <si>
    <t xml:space="preserve">German &amp; English </t>
  </si>
  <si>
    <t>https://www.fgeo.rwth-aachen.de/cms/geowissenschaften-und-geographie/Studium/Studiengaenge/Master-courses-of-study/Angewandte-Geowissenschaften/~cajo/Kurzprofil-des-Studiengangs/lidx/1/?mobile=1</t>
  </si>
  <si>
    <t>•German Proficiency certificate 
•CV
•Letter of Recommendation 
•Statement of Purpose 
•Bachelor's Degree Certificate 
•Bachelor's Transcript 
•Bachelor's Module description &amp; Grade sheet 
•English Proficiency Certificate
•Secondary School</t>
  </si>
  <si>
    <t>Bachelor of Science or Engineering with at least 180 ECTS
a minimum of 90 ECTS in geoscientific modules, at least 5 ECTS of which have to be earned in field work
a minimum of 30 ECTS in mathematics, chemistry, and/or physics modules</t>
  </si>
  <si>
    <t>Metallic Materials Technology</t>
  </si>
  <si>
    <t xml:space="preserve">Summer - Not Mentioned </t>
  </si>
  <si>
    <t>approx 94 EUR per semester</t>
  </si>
  <si>
    <t xml:space="preserve">6.5 band </t>
  </si>
  <si>
    <t>https://tu-freiberg.de/en/master-metallic-materials-technology</t>
  </si>
  <si>
    <t>•Work Experience 
•CV
•Letter of Recommendation 
•Statement of Purpose 
•Bachelor's Degree Certificate 
•Bachelor's Transcript 
•Bachelor's Module description &amp; Grade sheet 
•English Proficiency Certificate
•Secondary School</t>
  </si>
  <si>
    <t>Bachelor's degree (at least six semesters) or an equivalent degree in a course of study in the field of metallurgy, materials engineering, or another related discipline</t>
  </si>
  <si>
    <t>Advanced Materials Analysis</t>
  </si>
  <si>
    <t xml:space="preserve">GMAT or GRE </t>
  </si>
  <si>
    <t>https://tu-freiberg.de/en/master-advanced-materials-analysis</t>
  </si>
  <si>
    <t>•CV  
•GMAT or GRE Certificate 
•Letter of Recommendation 
•Statement of Purpose 
•Bachelor's Degree Certificate 
•Bachelor's Transcript 
•Bachelor's Module description &amp; Grade sheet 
•English Proficiency Certificate
•Secondary School</t>
  </si>
  <si>
    <t>degree in the fields of Physics (preferentially Solid State), Chemistry (preferentially Solid State), Materials Science or Engineering (preferentially Materials Engineering). 
Please note: Applicants with a bachelor degree in "Mechanical Engineering", who have not taken any courses related to "Materials" during their studies, will generally not be admitted for professional reasons.</t>
  </si>
  <si>
    <t>Technology and Application of Inorganic Engineering Materials</t>
  </si>
  <si>
    <t>https://tu-freiberg.de/en/master-technology-and-application-inorganic-engineering-materials</t>
  </si>
  <si>
    <t>Bachelor degree in the field of Mechanical Engineering, Process Engineering, Environmental Engineering, Energy Engineering, Industrial Engineering, Materials Science and Engineering, Natural Sciences or similar fields.</t>
  </si>
  <si>
    <t>Computational Materials Science (CMS)</t>
  </si>
  <si>
    <t>https://tu-freiberg.de/en/master-computational-materials-science</t>
  </si>
  <si>
    <t>Bachelor's degree or an equivalent degree in the field of Mechanical Engineering, Materials Science, Civil Engineering, Nanotechnology, Aerospace Engineering, (Solid State) Physics, Computational Engineering, Applied Maths, Applied Computer Science</t>
  </si>
  <si>
    <t xml:space="preserve">OWL University of Applied Sciences and Arts </t>
  </si>
  <si>
    <t>Detmold</t>
  </si>
  <si>
    <t>Master in Integrated Design (MID)</t>
  </si>
  <si>
    <t xml:space="preserve">Winter - 1 February </t>
  </si>
  <si>
    <t>Winter - 31 March</t>
  </si>
  <si>
    <t>approx 334 EUR per semester</t>
  </si>
  <si>
    <t xml:space="preserve"> paper-based 550
 Internet-based (iBT) 79-80
 computer-based 213</t>
  </si>
  <si>
    <t>3 month Internship</t>
  </si>
  <si>
    <t>https://www.th-owl.de/en/design/studies/degree-programs/detail/master-of-integrated-design/</t>
  </si>
  <si>
    <t>Bachelor’s or graduate degree
Portfolio
Cover Letter 
Possibly a successful personal interview
Verified fluency in English
three-month practical training or internship in the professional field of architecture, building, interior, structural and/or facade design or planning.</t>
  </si>
  <si>
    <t>Bachelor's in
Architecture, Mechanical Engineering,
 Architectural Engineering, Interior Design, 
Product Design, Civil Engineering,
 Industrial Engineering, Informatics.</t>
  </si>
  <si>
    <t>FH Münster University of Applied Sciences</t>
  </si>
  <si>
    <t>Steinfurt</t>
  </si>
  <si>
    <t>Master Materials Science and Engineering (MSc)</t>
  </si>
  <si>
    <t xml:space="preserve">Winter - 10 February </t>
  </si>
  <si>
    <t>Winter - 31 May</t>
  </si>
  <si>
    <t>approx 335.20 EUR per semester</t>
  </si>
  <si>
    <t>87 points - internet based or 567 points paper based</t>
  </si>
  <si>
    <t>https://en.fh-muenster.de/materials-science/index.php</t>
  </si>
  <si>
    <t>Bachelor's degree or equivalent in 
chemistry, chemical engineering, physics, mechanical and materials science, or a similar subject is required.</t>
  </si>
  <si>
    <t xml:space="preserve">Paderborn University </t>
  </si>
  <si>
    <t>Paderborn</t>
  </si>
  <si>
    <t>Master of Science in Materials Science</t>
  </si>
  <si>
    <t xml:space="preserve">Winter - 1 January </t>
  </si>
  <si>
    <t>Winter - 1 May</t>
  </si>
  <si>
    <t>approx 290 EUR per semester</t>
  </si>
  <si>
    <t>550 (paper-based) or 79 (Internet-based)</t>
  </si>
  <si>
    <t>GRE required</t>
  </si>
  <si>
    <t>https://chemie.uni-paderborn.de/studium/master-of-science/materialwissenschaften</t>
  </si>
  <si>
    <t xml:space="preserve">•Bachelor's Certificate Degree
•Bachelor's Transcript 
•Statement of Purpose 
•Letter of Recommendation 
•English Proficiency Certificate
•GRE Certificate </t>
  </si>
  <si>
    <t>Bachelor's degree in chemistry, physics, materials science, mechanical/electrical engineering</t>
  </si>
  <si>
    <t>Carl von Ossietzky University of Oldenburg</t>
  </si>
  <si>
    <t>Oldenburg</t>
  </si>
  <si>
    <t>Master of Science in Engineering Physics</t>
  </si>
  <si>
    <t xml:space="preserve">Winter - 15 July 
Summer - 15 January </t>
  </si>
  <si>
    <t>approx 400 EUR per semester</t>
  </si>
  <si>
    <t>https://uol.de/studiengang/engineering-physics-master-2</t>
  </si>
  <si>
    <t>•Bachelor's Certificate Degree
•Bachelor's Transcript 
•Statement of Purpose 
•Letter of Recommendation 
•English Proficiency Certificate</t>
  </si>
  <si>
    <t>Bachelor's degree in Engineering Physics or equivalent degree in natural sciences or engineering</t>
  </si>
  <si>
    <t>Kiel University</t>
  </si>
  <si>
    <t>Materials Science and Engineering (MSc)</t>
  </si>
  <si>
    <t xml:space="preserve">Winter - 11 February </t>
  </si>
  <si>
    <t xml:space="preserve">approx 277 EUR per semester </t>
  </si>
  <si>
    <t>https://www.tf.uni-kiel.de/matwis/kielmat/en</t>
  </si>
  <si>
    <t>•Application form (download from portal)
•University Transcript of Records
•Certificate of a completed bachelor's degree
•English Proficiency Certificate 
•Manual of your B.Sc. course
•APS Certificate</t>
  </si>
  <si>
    <t>Bachelor of Science in materials science</t>
  </si>
  <si>
    <t xml:space="preserve">Technical University Munich </t>
  </si>
  <si>
    <t>München</t>
  </si>
  <si>
    <t>MSc Materials Science &amp; Engineering</t>
  </si>
  <si>
    <t>approx 152.30 EUR</t>
  </si>
  <si>
    <t>https://www.tum.de/en/studies/degree-programs/detail/materials-science-and-engineering-master-of-science-msc</t>
  </si>
  <si>
    <t xml:space="preserve">•Aptitude Exam for Non- EU
•Degree Certificate and Diploma or Subject and Grade Transcript of Studies to Date
•Transcript of Records
•Proof of English Language Proficiency
•Abstract (in English)
•Curricular Analysis
•Letter of Motivation (in English)
•Complete and Current Résumé
•Passport
•Preliminary Documentation (VPD)
•GRE
•Essay 
•APS Certificate </t>
  </si>
  <si>
    <t>Bachelor's degree in engineering, mechanical engineering, electrical engineering, computer science, civil/environmental engineering, chemical engineering</t>
  </si>
  <si>
    <t>Technische Universität Ilmenau</t>
  </si>
  <si>
    <t>Ilmenau</t>
  </si>
  <si>
    <t>Master of Science in Micro- and Nanotechnologies</t>
  </si>
  <si>
    <t>Winter - 16 January</t>
  </si>
  <si>
    <t xml:space="preserve">approx 150 EUR per semester </t>
  </si>
  <si>
    <t>7 band</t>
  </si>
  <si>
    <t xml:space="preserve">iBT- 95 points </t>
  </si>
  <si>
    <t>https://www.tu-ilmenau.de/en/study/before-the-study/range-of-courses/master/micro-and-nanotechnologies-msc</t>
  </si>
  <si>
    <t>Bachelor's degrees in electrical, electronics and communications engineering, mechatronics, technical physics, material science, mechanical engineering</t>
  </si>
  <si>
    <t>University of Applied Sciences Jena</t>
  </si>
  <si>
    <t>Jena</t>
  </si>
  <si>
    <t>Master of Science in Scientific Instrumentation</t>
  </si>
  <si>
    <t xml:space="preserve">Winter - 15 March </t>
  </si>
  <si>
    <t xml:space="preserve">approx 246 EUR per semester </t>
  </si>
  <si>
    <t>550 (paper-based), 79 (Internet-based)</t>
  </si>
  <si>
    <t>https://www.eah-jena.de/scitec/international/masters-degree-programme-scientific-instrumentation-msc</t>
  </si>
  <si>
    <t>•Signed printout of the filled online application form for the Master's program
•Curriculum vitae (computer generated)
•Certificate of the university degree (Bachelor's degree)
•Certificate of university courses taken with marks
•Leaving certificate of senior secondary school
•For applicants from PR China, India or Vietnam: APS certificate
•Proof of knowledge of English language (IELTS Academic or TOEFL only!)
•Copy of passport (personal data)
•Copy of your bank transfer form showing the transfer of the application fee
•Confirmation PDF of your room application at the Studentenwerk
•Optional only : Additional documents like recommendation letters etc.
•Applicants from India : A document allowing the conversion from CGPA to percentage</t>
  </si>
  <si>
    <t>degrees in physics engineering, physics, applied physics, microtechnology, precision instrumentation, mechanical engineering, mechatronics, electronics engineering, electrical engineering, instrumentation engineering or materials sciences. </t>
  </si>
  <si>
    <t>Autonomy Technologies</t>
  </si>
  <si>
    <t>approx 127 EUR per semester</t>
  </si>
  <si>
    <t xml:space="preserve">ibt- 80 points </t>
  </si>
  <si>
    <t>https://www.at.study.fau.eu/</t>
  </si>
  <si>
    <t>•CV  
•APS Certificate 
•Official translation of the School Leaving Certificate
•University Degree Certificate and Diploma Supplement - if already available 
•Complete Academic Report/Transcript of Records
•All additional documents which are required by the specific program (letter of application, proof of internships/placements, language certificates, etc).</t>
  </si>
  <si>
    <t>Engineering mathematics: linear algebra, calculus and analysis, geometry, probability theory, information theory, signal processing
Control Theory (e.g. as covered in Feedback Systems: An Introduction for Scientists and Engineers (Åström &amp; Murray, 2008))
Sensors (e.g. as covered in Handbook of Modern Sensors: Physics, Designs, and Applications (Fraden, 2010))
Mechatronics (e.g. as covered in Mechatronic Systems: Fundamentals (Isermann, 2007))
Electrical Engineering
Basic knowledge in programming, e.g. C, C++, Python, Matlab
Knowledge in fundamentals of algorithms and data structures</t>
  </si>
  <si>
    <t xml:space="preserve">Rosenheim Technical University of Applied Sciences </t>
  </si>
  <si>
    <t>Engineering Sciences</t>
  </si>
  <si>
    <t xml:space="preserve">Winter - 01 April
Summer - 01 November </t>
  </si>
  <si>
    <t xml:space="preserve">Winter - 15 June
Summer - 15 December </t>
  </si>
  <si>
    <t>approx 84 EUR student union fees</t>
  </si>
  <si>
    <t>https://www.th-rosenheim.de/en/studies-and-further-education/courses-of-study/masters-degree-programmes/masters-degree-programme-in-engineering-sciences?mtm_campaign=DAAD%20International%20Programmes&amp;mtm_kwd=M-ING</t>
  </si>
  <si>
    <t>•Bachelor's Certificate Degree
•Bachelor's Transcript 
•Statement of Purpose 
•Letter of Recommendation 
•English Proficiency Certificate
•German Proficiency Certificate</t>
  </si>
  <si>
    <t>Bachelor's degree in one of the following: Electrical Engineering and Information Technology, Mechatronics, Mechanical Engineering, Plastics Engineering</t>
  </si>
  <si>
    <t>Brandenburg University of Technology Cottbus-Senftenberg</t>
  </si>
  <si>
    <t>Cottbus</t>
  </si>
  <si>
    <t>Transfers-Fluids-Materials in Aeronautical and Space Applications</t>
  </si>
  <si>
    <t xml:space="preserve">Winter - 24 October </t>
  </si>
  <si>
    <t xml:space="preserve">Winter - 12 March </t>
  </si>
  <si>
    <t>550, 213 or 79 points respectively for paper-based, computer-based and Internet-based</t>
  </si>
  <si>
    <t>https://www.tfmasa.eu/</t>
  </si>
  <si>
    <t>Bachelor or Engineering school degree with Mechanics and Physics training.
- Good level in sciences, particularly in solid and fluid mechanics, thermal sciences, thermodynamics and material science.</t>
  </si>
  <si>
    <t>Computational Mechanics</t>
  </si>
  <si>
    <t>approx 152.30 EUR per semester</t>
  </si>
  <si>
    <t>234 (computer-based), 605 (paper-based), and 88 (Internet-based)</t>
  </si>
  <si>
    <t>https://www.tum.de/en/studies/degree-programs/detail/computational-mechanics-master-of-science-msc</t>
  </si>
  <si>
    <t xml:space="preserve">•Aptitude Exam for Non- EU
•Degree Certificate and Diploma or Subject and Grade Transcript of Studies to Date
•Transcript of Records
•Proof of English Language Proficiency
•Abstract (in English)
•Curricular Analysis
•Letter of Motivation (in English)
•Complete and Current Résumé
•Passport
•Preliminary Documentation (VPD)
•GRE
•Essay
•APS Certificate </t>
  </si>
  <si>
    <t>Bachelor's in civil engineering (CE)
mechanical engineering (ME)
engineering sciences (XE)</t>
  </si>
  <si>
    <t>MSc Materials Science and Engineering</t>
  </si>
  <si>
    <t>Winter - 15 June
Summer - 15 July</t>
  </si>
  <si>
    <t>5 band</t>
  </si>
  <si>
    <t>https://materials.study.fau.eu/</t>
  </si>
  <si>
    <t>•Bachelor's Transcript 
•Bachelor's Degree 
•English Proficiency Certificate</t>
  </si>
  <si>
    <t xml:space="preserve">Bachelor’s degree in Materials Science, Nanotechnology, Materials Engineering </t>
  </si>
  <si>
    <t xml:space="preserve">Karlsruhe Institute of Technology </t>
  </si>
  <si>
    <t>Karlsruhe</t>
  </si>
  <si>
    <t>Winter - 30 September 
Summer - 31 March</t>
  </si>
  <si>
    <t xml:space="preserve">approx 154 EUR per semester </t>
  </si>
  <si>
    <t>https://www.3dmattermadetoorder.kit.edu/msc_program.php</t>
  </si>
  <si>
    <t>•Proof of university entrance qualification
•Proof of basic knowledge in the area of studies or proof of a successful entrance examination
•Copy of your Bachelor Degree Certificate
•Proof of English Language Proficiency
•APS certificate</t>
  </si>
  <si>
    <t>Bachelor's degree or equivalent degree in the field of Materials Science and Engineering (or equivalent)</t>
  </si>
  <si>
    <t>University of Augsburg</t>
  </si>
  <si>
    <t>Master Materials Science &amp; Engineering</t>
  </si>
  <si>
    <t xml:space="preserve">Winter - 15 May
Summer - 15 November </t>
  </si>
  <si>
    <t xml:space="preserve">approx 127.50 EUR per semester </t>
  </si>
  <si>
    <t>550 points- Pbt, 213 points- Cbt, 80 points- Ibt</t>
  </si>
  <si>
    <t>https://www.uni-augsburg.de/de/fakultaet/mntf/physik/studies/mscmatsci/</t>
  </si>
  <si>
    <t xml:space="preserve">•Fully completed and signed  application form.
•Evaluation form for the required Credit Point Equivalents as mentioned above. Typically one ECTS point correponds to 30 hours of study time, i.e. contact hours plus homework. Note: Applicants who graduated from Augsburg University do not have to submit this form.
•GRE-Test (not compulsory) recommended.
•Curriculum Vitae
&gt;Certified copies and certified translations in English or German
•Final Secondary School certificate' (High School etc.) and (if applicable) 'higher education entrance qualification'
•Most recent official transcript of your Bachelor studies
•Bachelor certificate or equivalent
•APS Certificate </t>
  </si>
  <si>
    <t>Bachelor's degree (or equivalent) in the fields of materials science &amp; engineering, physics or chemistry</t>
  </si>
  <si>
    <t>Ruhr-Universität Bochum</t>
  </si>
  <si>
    <t>Bochum</t>
  </si>
  <si>
    <t>Sustainable Energy Systems und Circular Process Engineering</t>
  </si>
  <si>
    <t xml:space="preserve">approx 340 EUR per semester </t>
  </si>
  <si>
    <t xml:space="preserve">6 band </t>
  </si>
  <si>
    <t>550 (written), 215 (computer-based), 79 (internet-based)</t>
  </si>
  <si>
    <t>https://www.mb.rub.de/studium-mb/en/master-englisch/master-admission/</t>
  </si>
  <si>
    <t>•Copy of the passport
•Proof of the passed language test 
•Officially certified copy of school report (original language and a German or English translation)
•Degree certificate from the university in an officially certified copy (original language and a German or English translation) + list of individual grades
•Possibly proof of the completed university entrance examination (e.g. from Turkey, Lebanon, Iran, etc.) in an officially certified copy
•Possibly an officially certified copy of the assessment test to determine the eligibility of foreign applicants for studies at institutions of higher education in Germany (Feststellungsprüfung)
•APS certificate (only for applicants with certificates from China, Vietnam or India)
Please note collective APS for other universities are not accepted!</t>
  </si>
  <si>
    <t>Bachelor's ’s degree in mechanical engineering or in a comparable program at a scientific university after at least 6 semesters of study (three years of study, 180 ECTS), which includes a significant portion of mechanical engineering coursework.</t>
  </si>
  <si>
    <t>Textile Engineering</t>
  </si>
  <si>
    <t xml:space="preserve">Winter- 02 December </t>
  </si>
  <si>
    <t xml:space="preserve">Winter- 01 March </t>
  </si>
  <si>
    <t>https://www.academy.rwth-aachen.de/en/programs/masters-degree-programs/detail/msc-textile-engineering?utm_source=daad&amp;utm_medium=portal&amp;utm_campaign=intake</t>
  </si>
  <si>
    <t>•Work Experience 
•GRE 
•CV
•Letter of Recommendation 
•Statement of Purpose 
•Bachelor's Degree Certificate 
•Bachelor's Transcript 
•Bachelor's Module description &amp; Grade sheet 
•English Proficiency Certificate
•Secondary School
•Passport Copy
•German Proficiency Certificate</t>
  </si>
  <si>
    <t>Bachelor of Engineering, Bachelor of Technology or Bachelor of Science in mechanical engineering, textile technology (not textile design), industrial engineering or a related discipline.</t>
  </si>
  <si>
    <t>Hof University of Applied Sciences</t>
  </si>
  <si>
    <t>Sustainable Textiles (MEng)</t>
  </si>
  <si>
    <t>Winter and Summer</t>
  </si>
  <si>
    <t xml:space="preserve">Winter - 15 April
Summer - 05 November </t>
  </si>
  <si>
    <t xml:space="preserve">approx 125 EUR per semester </t>
  </si>
  <si>
    <t>https://www.hof-university.com/studying-at-hof-university/our-degree-programs/sustainable-textiles-meng.html</t>
  </si>
  <si>
    <t>•CV
•Letter of Recommendation 
•Statement of Purpose 
•Bachelor's Degree Certificate 
•Bachelor's Transcript 
•Bachelor's Module description &amp; Grade sheet 
•English Proficiency Certificate
•Secondary School
•Passport Copy
•German Proficiency Certificate</t>
  </si>
  <si>
    <t>Bachelor's degree or similar in engineering or natural sciences providing sufficient knowledge in textile technology and textile chemistry from an accredited university</t>
  </si>
  <si>
    <t>Hochschule Niederrhein - University of Applied Sciences</t>
  </si>
  <si>
    <t>Mönchengladbach</t>
  </si>
  <si>
    <t>Management of Textile Trade and Technology, MSc</t>
  </si>
  <si>
    <t xml:space="preserve">Winter - 01 May
Summer - 01 November </t>
  </si>
  <si>
    <t>approx 330 EUR per semester</t>
  </si>
  <si>
    <t>https://www.hs-niederrhein.de/faculties/textile-and-clothing-technology/prospective-students/master-management-of-textile-trade-and-technology/</t>
  </si>
  <si>
    <t>•Certificate of your higher education entrance qualification
•if applicable, university entrance examination (e.g. Iran, Portugal, Spain, Turkey)
•if applicable, assessment test of a preparatory college or TestAS certificate
•If applicable, degree or previous academic achievements (degree certificate, overview of subjects and grades, grading system)
•for applications from China, India or Vietnam: APS document
•if applicable, proof of practical activities related to the course of study
•Proof of current language skills or registration for language test soon to be taken</t>
  </si>
  <si>
    <t>Bachelor's degree in the field of Textile and Clothing Technology, Textile or Clothing Management, Textile Chemistry, Textile or Fashion Design</t>
  </si>
  <si>
    <t>Bremerhaven University of Applied Sciences</t>
  </si>
  <si>
    <t>Bremerhaven</t>
  </si>
  <si>
    <t>Process Engineering and Energy Technology</t>
  </si>
  <si>
    <t xml:space="preserve">Winter - 30 June
Summer - 31 December </t>
  </si>
  <si>
    <t>https://www.hs-bremerhaven.de/en/study/study-programmes/peet</t>
  </si>
  <si>
    <t>•degree of professional qualification with 210 ECTS credit points
•bachelor's program with 180 ECTS credit points may also be admitted under certain conditions.
•Written letter of motivation.
•English Proficiency Certificate 
•German Proficiency Certificate</t>
  </si>
  <si>
    <t>Bachelor's degree in (chemical engineering or similar)</t>
  </si>
  <si>
    <t xml:space="preserve">Ostbayerische Technische Hochschule Amberg-Weiden (OTH) </t>
  </si>
  <si>
    <t>International Energy Engineering</t>
  </si>
  <si>
    <t xml:space="preserve">Winter - 01 May
Summer - 15 November </t>
  </si>
  <si>
    <t>approx 162 EUR per semester</t>
  </si>
  <si>
    <t>A2 level (by the end of the second semester)</t>
  </si>
  <si>
    <t>https://www.oth-aw.de/en/study-programmes-and-educational-opportunities/study-programmes/master-degree-programs/international-energy-engineering/program-international-energy-engineering/</t>
  </si>
  <si>
    <t>•APS Certificate 
•Assessment Test
•English Proficiency Certificate 
•German language at least at level A2: Proof by the end of the first year of study at the latest.
•Bachelor's Degree 
•Bachelor's Transcript</t>
  </si>
  <si>
    <t>Bachelor's degree in  an engineering course of study: e.g. energy technology, renewable energies, environmental technology, mechanical engineering, electrical engineering, process engineering, supply engineering, civil engineering, industrial engineering with a corresponding technical focus or equivalent course of study</t>
  </si>
  <si>
    <t>Clean Energy Processes</t>
  </si>
  <si>
    <t xml:space="preserve">Winter - Not Mentioned 
Summer - 15 October </t>
  </si>
  <si>
    <t>approx 112 EUR per semester</t>
  </si>
  <si>
    <t>https://www.cep.study.fau.eu/master-m-sc-clean-energy-processes/#collapse_1</t>
  </si>
  <si>
    <t>•School leaving certificate (complete certificate)
•First degree certificate (Bachelor’s degree)
•Full overview of subjects and grades (Transcript of Records) including grading scheme.
Applications without grading scheme cannot be reviewed and will therefore be rejected.
•Applicants from China, Vietnam and India: APS certificate
•Curriculum vitae in English
•Application letter in English.
&gt;Optional documents:
•Proof of internships, vocational training, work experience
•Other forms of proof (e.g. proof of voluntary work)</t>
  </si>
  <si>
    <t>BSc in a similar study programme
For instance chemical engineering, energy technology or similar programmes.</t>
  </si>
  <si>
    <t>Renewable Energy Systems (RES)</t>
  </si>
  <si>
    <t>Winter- 02 May</t>
  </si>
  <si>
    <t>530 (paper-based), 197 (computer-based), or 71 (Internet-based)</t>
  </si>
  <si>
    <t>https://www.thi.de/maschinenbau/studiengaenge/renewable-energy-systems-msc/</t>
  </si>
  <si>
    <t>•Aptitude Exam
•APS Certificate 
•Work Experience- Bachelor's degree with less than 210 credits (but with a minimum of 180 ECTS), an approval of 30 ECTS on the basis of the qualified working experience is possible if the examination board agrees. 
•Bachelor's Transcript 
•Bachelor's Degree 
•Secondary School</t>
  </si>
  <si>
    <t>Bachelor's degree in energy engineering, mechanical engineering, industrial engineering, electrical engineering, civil engineering, or equivalent</t>
  </si>
  <si>
    <t xml:space="preserve">Nordhausen University of Applied Sciences </t>
  </si>
  <si>
    <t>Nordhausen</t>
  </si>
  <si>
    <t>Renewable Energy Systems</t>
  </si>
  <si>
    <t xml:space="preserve">3 or 4 </t>
  </si>
  <si>
    <t xml:space="preserve">Winter - Not Mentioned 
Summer - 01 December </t>
  </si>
  <si>
    <t>Winter - Not Mentioned 
Summer - 03 March</t>
  </si>
  <si>
    <t>approx 155.44 EUR per semester</t>
  </si>
  <si>
    <t xml:space="preserve">ibt- 79 points </t>
  </si>
  <si>
    <t>https://www.hs-nordhausen.de/en/studies/master/renewable-energy-systems/</t>
  </si>
  <si>
    <t>•High school diploma/certificate of higher education entrance qualification
•Bachelor degree certificate (proof that Bachelor degree was succesfully completed)
•Complete Transcript of Records (with overall grade)
•APS Certificate 
Proof of English proficiency (TOEFL iBT 79, IELTS 6.0 or Bachelor's Medium of Instruction is English)</t>
  </si>
  <si>
    <t>Bachelor's degree in mechanical engineering, electrical engineering, mechatronics, physics, process engineering, or related fields</t>
  </si>
  <si>
    <t>Hamburg University of Applied Sciences</t>
  </si>
  <si>
    <t>MSc Renewable Energy Systems</t>
  </si>
  <si>
    <t>Winter- 01 May</t>
  </si>
  <si>
    <t xml:space="preserve">approx 379 EUR per semester </t>
  </si>
  <si>
    <t>https://www.haw-hamburg.de/en/study/degree-courses-a-z/study-courses-in-detail/course/courses/show/renewable-energy-systems-environmental-and-process-engineering/Studieninteressierte/</t>
  </si>
  <si>
    <t>•Graduate Record Examination (GRE)
•Bachelor's degree or a comparable course of studies in a related discipline or a German Diplom from a university worth 210 credit points
•English Proficiency Certificate 
•German Proficiency Certificate 
&gt;Additional documents you may submit to enhance your application (optional):
•CV
•Proof of particular professional work experience or scientific achievements (papers, awards, etc.)</t>
  </si>
  <si>
    <t>Bachelor's degree (or equivalent) in environmental engineering, process engineering or a similar field</t>
  </si>
  <si>
    <t>approx 340 EUR per semester</t>
  </si>
  <si>
    <t xml:space="preserve">Portal </t>
  </si>
  <si>
    <t>https://www.mb.rub.de/studium-mb/en/bachelor-english/spezialisations/</t>
  </si>
  <si>
    <t>•Certified copy of degree certificate 
•List of subjects and grades
•Copy of the passport
• language skills (English)
•APS certificate (only for applicants from China, Vietnam or India)
Please note collective APS for other universities are not accepted!
•Essay (only for certain degree programmes)</t>
  </si>
  <si>
    <t>bachelor’s program in mechanical engineering or in a comparable program at a scientific university after at least 6 semesters of study (three years of study, 180 ECTS)</t>
  </si>
  <si>
    <t>Ansbach University of Applied Sciences</t>
  </si>
  <si>
    <t>Feuchtwangen</t>
  </si>
  <si>
    <t>Smart Energy Systems</t>
  </si>
  <si>
    <t>Winter- 31 May</t>
  </si>
  <si>
    <t xml:space="preserve">approx 67 EUR per semester </t>
  </si>
  <si>
    <t xml:space="preserve">85 points </t>
  </si>
  <si>
    <t>https://www.hs-ansbach.de/en/master/smart-energy-systems/</t>
  </si>
  <si>
    <t>•Graduated certificate of the qualified study course
•The study and examination regulations of the qualified study course 
•Notice of the pre-verification documentation (VPD)
• English language certificates
•German language certificates
•letter of motivation</t>
  </si>
  <si>
    <t>Bachelor's in the fields of engineering sciences (e.g. Applied Engineering Sciences), electrical engineering, mechanical engineering, physics, computer science, supply engineering or comparable.</t>
  </si>
  <si>
    <t>Europa-Universität Flensburg</t>
  </si>
  <si>
    <t>Flensburg</t>
  </si>
  <si>
    <t>Energy and Environmental Management in Developing Countries</t>
  </si>
  <si>
    <t xml:space="preserve">approx 25 EUR per semester </t>
  </si>
  <si>
    <t>2 years</t>
  </si>
  <si>
    <t>https://www.uni-flensburg.de/eem/</t>
  </si>
  <si>
    <t>•Signed application form (Ensure this is at the beginning of your pdf)
•Personally signed Curriculum vitale with current date. (use the template provided on this website)
•Bachelor-certificate (or equivalent university degree) of a study of 4-years duration in engineering (certified copy) in English translation
•Transcripts/Records of the study of 4-years duration with information about the grading system (certified copy) in English translation
•Written proof of 2-years work experience, with letterhead, stamp and signature
•Personally signed Letter of Motivation (approx. 1000 words) explaining your personal expectations and motivation to study Energy and Environmental Management. Reference to current occupation and choice of postgraduate programme(s) with current date.
•2 Recommendations with letterhead, stamp, date and signature (1 professional and 1 academic).
•English Language proof</t>
  </si>
  <si>
    <t>Bachelor's or equivalent university degree in Engineering after a minimum of four years of studies and proof of successful completion of the pre-semester.</t>
  </si>
  <si>
    <t xml:space="preserve">TH Köln (University of Applied Sciences) </t>
  </si>
  <si>
    <t>Köln</t>
  </si>
  <si>
    <t>Renewable Energy Management (MSc)</t>
  </si>
  <si>
    <t xml:space="preserve">Winter- 01 February </t>
  </si>
  <si>
    <t xml:space="preserve">approx 320 EUR per semester </t>
  </si>
  <si>
    <t>https://www.th-koeln.de/en/academics/renewable-energy-management-masters-program_6990.php</t>
  </si>
  <si>
    <t>•English language certificate
•Relevance of previous university degree
•Motivation
•In order to prove your study motivation you have to hand in two separate documents: a motivation letter and a research proposal Motivation
•Work Experience (Optional)</t>
  </si>
  <si>
    <t>Bachelor's in fields of engineering science, natural science, architecture, agriculture science, life science and earth science.</t>
  </si>
  <si>
    <t xml:space="preserve">Brandenburg University of Technology Cottbus-Senftenberg </t>
  </si>
  <si>
    <t>Power Engineering</t>
  </si>
  <si>
    <t>Winter- 01 March</t>
  </si>
  <si>
    <t>Winter- 15 May</t>
  </si>
  <si>
    <t xml:space="preserve">approx 165 EUR per semester </t>
  </si>
  <si>
    <t>https://www.b-tu.de/en/powerengineering-ms</t>
  </si>
  <si>
    <t>•a concise curriculum vitae with details about your educational history, practical experiences (if applicable), research interests, etc.,
•a simple copy of higher education entrance qualification (e.g. Secondary School Leaving Certificate, High School Diploma, A-levels, Abitur, one or two years of studying, etc.; you need a translation to German or English from a sworn translator if the original is not in German or English),
•a simple copy of a Bachelor of Science Degree in Power Engineering (electrical or thermal) or related engineering fields (if you do not yet have a final diploma, you may also submit preliminary documents),
•a simple copy of Bachelor transcripts of records (list of subjects taken – if you do not yet have a final certificate, you may also submit a preliminary one),
•simple copies of passports/official personal identifications/german residence permit etc.,
•professional experience or knowledge in power engineering if the Bachelor degree or equivalent is in another field of study,
•a letter of motivation (your reasons for applying for PE and career perspectives),
•two letters of recommendation from professors or employers,
•a certificate of proficiency in English 
•GATE (Graduate Aptitude Test in Engineering) for Indian students is optional. Applicants who have submitted the results of this test have higher chances of admission than other Indian applicants,
•German language knowledge is not required.</t>
  </si>
  <si>
    <t>Bachelor of Science in Power Engineering (electrical or thermal) or related engineering fields (or equivalent).Very good knowledge in basic areas of Mathematics, Physics, Computer Science, Basics in Electrical or Mechanical Engineering, as well as to subject-specific knowledge in the areas of Electrical or Thermal Power Engineering. Very good knowledge in Electrical Power Engineering, Electrical Machines, Drive Systems, Power Electronics, High Voltage Engineering, Grid Calculation – in case a student wants to specialize in "Electrical Power Engineering" or Thermodynamics, Thermal Power Engineering, Power Plant Technology, Heat Transfer, Renewable Energies – in case a student wants to specialize in "Power Generation from Fossil and Renewable Fuels"</t>
  </si>
  <si>
    <t>University Name</t>
  </si>
  <si>
    <t>Course</t>
  </si>
  <si>
    <t>Application start &amp; End Date</t>
  </si>
  <si>
    <t>No.of semisters</t>
  </si>
  <si>
    <t>Application Process</t>
  </si>
  <si>
    <t>Documents required &amp; Requirements</t>
  </si>
  <si>
    <t>Semister contrubution</t>
  </si>
  <si>
    <t>Costs of living</t>
  </si>
  <si>
    <t>DAAD portal link</t>
  </si>
  <si>
    <t>Status</t>
  </si>
  <si>
    <t>https://www2.daad.de/deutschland/studienangebote/international-programmes/en/</t>
  </si>
  <si>
    <t>Leibniz University Hannover</t>
  </si>
  <si>
    <t>Hannover</t>
  </si>
  <si>
    <t>AI-Driven Mechatronics and Robotics (Mechatronics and Robotics Study Track)</t>
  </si>
  <si>
    <t>15 April to 31 May</t>
  </si>
  <si>
    <t>4 semesters</t>
  </si>
  <si>
    <t>https://www.uni-hannover.de/en/studium/vor-dem-studium/bewerbung-zulassung/studienplatzbewerbung/</t>
  </si>
  <si>
    <t>Applicants from non-EU countries (VPD from uni-assist is required) Bachelor's degree (at least six semesters/180 ECTS points) in Engineering or a similar previous degree programme with at least:
15 ECTS points in Mathematics
15 ECTS points in Technical Mechanics
20 ECTS points in Electrical Engineering/Drive Technology
10 ECTS points in Measurement/Control Technology</t>
  </si>
  <si>
    <r>
      <rPr/>
      <t xml:space="preserve">Approx. 400 EUR semester fee ("Semesterbeitrag")
The semester fee includes the following:
Contribution to the "Studentenwerk Hannover" (student services organisation)
Contribution to the student government (Student Union, AStA)
Semester ticket
Contribution to administrative costs for the Federal State of Lower Saxony
</t>
    </r>
    <r>
      <rPr>
        <color rgb="FF1155CC"/>
        <u/>
      </rPr>
      <t>http://go.lu-h.de/study-costs</t>
    </r>
  </si>
  <si>
    <r>
      <rPr/>
      <t xml:space="preserve">850 EUR a month to cover your living expenses. The largest expense will be your monthly rent. In Hannover, the rent amounts to between 300 and 500 EUR per month.
Cost of studying at Leibniz University Hannover:
http://go.lu-h.de/study-costs
General information on the cost of studying in Germany:
</t>
    </r>
    <r>
      <rPr>
        <color rgb="FF1155CC"/>
        <u/>
      </rPr>
      <t>https://www.daad.de/en/studying-in-germany/living-in-germany/finances/</t>
    </r>
  </si>
  <si>
    <t>AI-Driven Mechatronics and Robotics (Mechatronics and Robotics Study Track) - International Programmes - DAADREMOVE_JS</t>
  </si>
  <si>
    <t>https://www.uni-hannover.de/fileadmin/Studienberatung/Neu_ab_Relaunch/02_Studium_Vor_dem_Studium/02_Bewerbung_und_Zulassung/02_Studienplatzbewerbung/Walkthrough_Master_EN.pdf</t>
  </si>
  <si>
    <t>RheinMain University of Applied Sciences</t>
  </si>
  <si>
    <t>Rüsselsheim</t>
  </si>
  <si>
    <t>AI and Advanced Information Technology (MEng)</t>
  </si>
  <si>
    <t>3 semesters</t>
  </si>
  <si>
    <t>https://www.hs-rm.de/en/international/from-abroad/international-students/studium/english-masters-programs</t>
  </si>
  <si>
    <t>A first university degree (Bachelor’s or equivalent) in a relevant field is required.
Admission is subject to a numerus clausus (NC).
Further details on specific grade requirements, the application process, and required documents are available on the HSRM application page.
English language proficiency at level B2 or higher is required.</t>
  </si>
  <si>
    <t>The semester contribution at Hochschule RheinMain is currently about 370 EUR 
per semester and includes the Germany-wide</t>
  </si>
  <si>
    <t>Typical expenses in the RheinMain area (Wiesbaden/Rüsselsheim) amount to around 950 EUR per month, including rent, food, health insurance, and transport. For visa/residence permit purposes you need to show 992 EUR per month. More details are available on the Hochschule RheinMain website.</t>
  </si>
  <si>
    <t>https://www2.daad.de/deutschland/studienangebote/international-programmes/en/detail/10568/#tab_overview</t>
  </si>
  <si>
    <t xml:space="preserve">RPTU University of Kaiserslautern-Landau </t>
  </si>
  <si>
    <t>Automation &amp; Control (A&amp;C)</t>
  </si>
  <si>
    <t>Application deadline 
Summer semester: 31 October
Winter semester: 30 April</t>
  </si>
  <si>
    <t xml:space="preserve">https://eit.rptu.de/en/studies/master-in-english
</t>
  </si>
  <si>
    <t>Bachelor's degree in Electrical Engineering or an equivalent foreign degree in a related field
TOEFL or IELTS (GRE recommended)
CGPA (cumulative grade point average): Your Bachelor's degree should be completed with a minimum CGPA of 3.5 out of 4 or equivalent.
550 points (on the paper-based test)
213 points (on the computer-based test)
79/80 points (on the internet-based test)
and/or
IELTS: band score of 6.0</t>
  </si>
  <si>
    <t>Social fee: 314 EUR per semester (including public transport 
["Deutschland-Semesterticket"], free university sports courses, free printouts, reductions in RPTU canteen, etc.)
Assessment fee: 60 EUR 
(RPTU Kaiserslautern), 75 EUR (RPTU Landau) (single payment for verification of foreign certificates)
Recommended: German Language &amp; 
Orientation Course for International Students: 800 EUR</t>
  </si>
  <si>
    <t>Monthly cost of living:
approx. 850 EUR (RPTU Kaiserslautern), approx. 950 EUR (RPTU Landau)
(including accommodation, health insurance, food, internet, phone, etc.)</t>
  </si>
  <si>
    <t>https://www2.daad.de/deutschland/studienangebote/international-programmes/en/detail/4818/#tab_overview</t>
  </si>
  <si>
    <t>Technische Hochschule Köln (University of Applied Sciences)</t>
  </si>
  <si>
    <t>Gummersbach</t>
  </si>
  <si>
    <t>Automation &amp; IT (Master of Engineering)</t>
  </si>
  <si>
    <t xml:space="preserve"> Early May - May 31, 2025</t>
  </si>
  <si>
    <t>http://www.master-ait.de/content/index_eng.html</t>
  </si>
  <si>
    <r>
      <rPr/>
      <t xml:space="preserve">For admission to the Master's programme "Automation &amp; IT" (MEng), applicants are required to have successfully completed studies in the fields of electrical engineering or related fields (Bachelor's or comparable degree). 
The following application documents are required:
Graduation certificate (certified copy)
Curriculum vitae (in tabular form)
Proof of English proficiency (see language requirements)
A two-page description of your motivation to study, including your further research interests (in English)
Please find further details and a checklist at: </t>
    </r>
    <r>
      <rPr>
        <color rgb="FF1155CC"/>
        <u/>
      </rPr>
      <t xml:space="preserve">http://www.master-ait.de/content/index_eng.html
</t>
    </r>
    <r>
      <rPr/>
      <t>Certified proficiency in English: TOEFL (550 points), Computer TOEFL (213 points), Internet (80 points), IELTS (band 6.0), Cambridge Certificate in Advanced English, level C1, or equivalent certificate</t>
    </r>
  </si>
  <si>
    <t>Approx. 335 EUR per semester
The semester fee includes the semester ticket for public transport throughout Germany.</t>
  </si>
  <si>
    <t>The cost of living for your stay largely depends on your personal needs. When planning your stay, you should calculate monthly costs of approx. 1,000 – 1,200 EUR.</t>
  </si>
  <si>
    <t>https://www2.daad.de/deutschland/studienangebote/international-programmes/en/detail/3961/#tab_overview</t>
  </si>
  <si>
    <t>Robotics, MEng</t>
  </si>
  <si>
    <t>15 April to 15 June for October entries (winter semester)</t>
  </si>
  <si>
    <t>https://www.th-deg.de/en/apply#international</t>
  </si>
  <si>
    <t>Applicants are required to have successfully completed an undergraduate study programme with at least 210 ECTS credits from the fields of mechatronics, robotics, or a related degree programme, or by a qualification that is equivalent to such a university degree. Based on the documents submitted, the examination board decides on the relevance of prior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t>
  </si>
  <si>
    <t>82 EUR student union fee per semester
Additionally, the international students from non-EU/EEA countries are required to pay the application fee of 60 EUR and the service fee of 500 EUR per semester. 
You can find more information about these fees here: Information for international applications and students | DIT.</t>
  </si>
  <si>
    <t>Approx. 950 EUR per month</t>
  </si>
  <si>
    <t>https://www2.daad.de/deutschland/studienangebote/international-programmes/en/detail/9838/#tab_overview</t>
  </si>
  <si>
    <t>Automation and Robotics</t>
  </si>
  <si>
    <t>Fed - 15th May</t>
  </si>
  <si>
    <t xml:space="preserve">http://www.automationrobotics.tu-dortmund.de/
</t>
  </si>
  <si>
    <t>"Applicants are required to have successfully completed an undergraduate study programme with at least 210 ECTS credits from the fields of mechatronics, robotics, or a related degree programme, or by a qualification that is equivalent to such a university degree. Based on the documents submitted, the examination board decides on the relevance of prior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
Language requirements
An English proficiency level in the range of the European CEFR C1 or C2 is requested. For instance, this translates to
IELTS 7 (overall, academic test)
TOEFL ibT 95
or similar test frameworks.</t>
  </si>
  <si>
    <t>At time of this writing, the semester contribution is approx. 340 EUR. The most up to date information on this can always be found on the TU pages.</t>
  </si>
  <si>
    <t>https://www2.daad.de/deutschland/studienangebote/international-programmes/en/detail/8996/#tab_overview</t>
  </si>
  <si>
    <t>Master of Science in Automotive Engineering</t>
  </si>
  <si>
    <t>If you hold a degree of a non-EU or non-EEA country, the application period starts at the beginning of December each year. The deadline is 1 March.</t>
  </si>
  <si>
    <r>
      <rPr>
        <color rgb="FF1155CC"/>
        <u/>
      </rPr>
      <t>https://online.rwth-aachen.de</t>
    </r>
  </si>
  <si>
    <t>The qualification for the Master's programme in "Mechatronic and Cyber-Physical Systems" is proven by the completion of a basic course of study at a domestic or foreign university with a minimum of 210 ECTS credits in the fields of industrial engineering, technical physics, mechanical engineering, electrical engineering, mechatronics or a degree that is equivalent to such a university degree. Based on the documents submitted, the examination board decides on the equivalence of prior degrees.
IELTS: Test score 5.5</t>
  </si>
  <si>
    <t>fee of about 320 EUR per semester.</t>
  </si>
  <si>
    <r>
      <rPr/>
      <t xml:space="preserve">It is difficult to put a precise number on what overall expenses you would need to expect on a monthly basis. The entire cost of studies and life in Aachen, including rent, insurance, living expenses, etc., is on average at least 1,100 EUR per month or 13,200 EUR per year. Please find more information about general costs via the following website: </t>
    </r>
    <r>
      <rPr>
        <color rgb="FF1155CC"/>
        <u/>
      </rPr>
      <t>http://www.rwth-aachen.de/go/id/bqmo/lidx/1.</t>
    </r>
  </si>
  <si>
    <t>https://www2.daad.de/deutschland/studienangebote/international-programmes/en/detail/4599/#tab_costs</t>
  </si>
  <si>
    <t>If you wish to start your studies in the winter semester (1 October), you will study at our main campus in Deggendorf. You will be able to apply from 15 April until 15 June.</t>
  </si>
  <si>
    <t>The qualification for the Master's programme in "Mechatronic and Cyber-Physical Systems" is proven by the completion of a basic course of study at a domestic or foreign university with a minimum of 210 ECTS credits in the fields of industrial engineering, technical physics, mechanical engineering, electrical engineering, mechatronics or a degree that is equivalent to such a university degree. Based on the documents submitted, the examination board decides on the equivalence of prior degrees.
B1-C1</t>
  </si>
  <si>
    <t xml:space="preserve">82 EUR student union fee per semester
Additionally, the international students from non-EU/EEA countries are required to pay the application fee of 60 EUR and the service fee of 500 EUR per semester. You can find more information about these fees here: Information for international applications and students | DIT.
</t>
  </si>
  <si>
    <t>Costs of living
Approx. 950 EUR per month</t>
  </si>
  <si>
    <t>https://www2.daad.de/deutschland/studienangebote/international-programmes/en/detail/5378/#tab_overview</t>
  </si>
  <si>
    <t xml:space="preserve">Technical University of Darmstadt </t>
  </si>
  <si>
    <t>Darmstadt</t>
  </si>
  <si>
    <t>Master of Science in Aerospace Engg</t>
  </si>
  <si>
    <t>01.12.245 – 15.01.26*</t>
  </si>
  <si>
    <t>https://www.tu-darmstadt.de/studieren/studieninteressierte/bewerbung_zulassung_tu/online_bewerbung/index.en.jsp</t>
  </si>
  <si>
    <t>Bachelor's degree in Mechanical Engineering, Aerospace Engineering or an equivalent
Applicants must provide proof of sufficient English language skills, e.g.:
UNIcert-Step III in English
TOEFL test (paper/cBT 550/213, iBT 95, itp 627)
IELTS 7/7.5/8
For the most recent information on the accepted language certificates or equivalence of other English language certificates, please check this website or contact the International Admission Office.</t>
  </si>
  <si>
    <t>The registration fee totals about 350 EUR per semester. This includes administrative fees and the semester ticket ("Deutschlandticket"). The area of validity of the semester ticket will be extended to all transportation organisations and lines participating in the "Deutschlandticket" offer throughout Germany.
Registration fees</t>
  </si>
  <si>
    <t xml:space="preserve"> 700 EUR to 900 EUR per month.</t>
  </si>
  <si>
    <t>https://www2.daad.de/deutschland/studienangebote/international-programmes/en/detail/7775/#tab_costs</t>
  </si>
  <si>
    <t>Hybrid Electric Propulsion Technology</t>
  </si>
  <si>
    <t>EU and non-EU applicants: 15 May for the following winter semester</t>
  </si>
  <si>
    <t>uni-assist</t>
  </si>
  <si>
    <t>Applicants must hold at least a Bachelor's degree in engineering that grants access to a Master's degree programme in Germany and that is subject-specifically relevant for admission to the Hybrid Electric Propulsion Technology Master's degree programme – preferably in the fields of mechanical engineering, aerospace engineering, electrical engineering, energy engineering and in related courses of study. With their application, each applicant should submit his or her thesis or comparable publication in English language and have excellent in-depth knowledge of mathematics, mechanics, engineering design, electrical machines and electrical drives, control engineering, physics and thermodynamics.
IELTS (minimum 6.0)</t>
  </si>
  <si>
    <t>Apart from a few degree programmes, education offered at the BTU Cottbus-Senftenberg is without tuition fees. However, the university does charge a fee each semester (winter semester 2024/25: 373.80 EUR). This covers costs for the student services organisation, the student council as well as the semester ticket.</t>
  </si>
  <si>
    <t>Accommodation and other essential living expenses will amount to around 780 to 1,000 EUR per month. Of course, this amount depends entirely on individual lifestyle. The following list gives you an idea of some fixed and variable costs that you should take into account for your stay in Germany.
Monthly costs:
rent (including utilities): 250 to 450 EUR
groceries: approx. 160 to 180 EUR
health insurance, medical fees, medication: approx. 145 EUR
miscellaneous (clothing, study materials, other activities): 170 to 220 EUR
Total: 780 to 1,000 EUR
The so-called "Deutschlandticket" included in the semester ticket allows you to travel using all local public means of transportation throughout Germany.</t>
  </si>
  <si>
    <t>https://www2.daad.de/deutschland/studienangebote/international-programmes/en/detail/9255/#tab_overview</t>
  </si>
  <si>
    <t>Application period: 1 January to 15 March</t>
  </si>
  <si>
    <t>https://mb.tu-dortmund.de/studium/studiengaenge/msc-manufacturing-technology/application/</t>
  </si>
  <si>
    <t>Academic admission requirements
An appropriate Bachelor of Science degree in the field of mechanical engineering or a comparable degree with a total of 180 credit points (ECTS).
A Bachelor's degree course is considered appropriate when it includes modules of the following subjects:
mathematics, covering at least 15 credit points (ECTS)
mechanics, covering at least 9 credit points (ECTS)
materials engineering, production engineering, theory of design, and/or metallurgy and feedback control, totalling at least 15 credit points (ECTS) to be divided individually
A total of at least 50 credit points must have been earned across the subject areas listed in points 1–3. (1 credit point is equivalent to 30 working hours)
CGPA (Cumulative Grade Point Average): 2.9 or better according to the German grading system
English language certificate (see below)
Recommended: three letters of recommendation (academic or professional)
Recommended: proof of one's ranking among the top 10% students of one's graduating class
Recommended: GRE (Graduate Record Examination)
The admissions committee decides on exceptions, requirements, and the admission of candidates with comparable degrees to the Master's programme.
Applicants must provide proof of their English skills, which must be equivalent to at least level B2 of the Common European Framework of Reference (CEFR):
TOEFL (minimum scores: iBT: 72, PBT: 543, ITP: 543) or
Academic IELTS (minimum score: 5.5) or
Cambridge First Certificate (CEFR level B2)
Please check MMT's website for detailed information regarding the English language test scores: https://mb.tu-dortmund.de/studium/studiengaenge/msc-manufacturing-technology/application/requirements-documents/.
Knowledge of German is not required.</t>
  </si>
  <si>
    <t>Approx. 300 EUR per semester</t>
  </si>
  <si>
    <t>800—1,100 EUR per month</t>
  </si>
  <si>
    <t>https://www2.daad.de/deutschland/studienangebote/international-programmes/en/detail/4300/#tab_costs</t>
  </si>
  <si>
    <t>Dortmund University of Applied Sciences and Arts</t>
  </si>
  <si>
    <t>Master's in Embedded Systems Engineering (ESE)</t>
  </si>
  <si>
    <t>Non-EU applicants: 15 June</t>
  </si>
  <si>
    <r>
      <rPr/>
      <t xml:space="preserve">Only online applications are accepted. Please send all requests to: service-ese@fh-dortmund.de
Find more information on our website: </t>
    </r>
    <r>
      <rPr>
        <color rgb="FF1155CC"/>
        <u/>
      </rPr>
      <t>https://www.fh-dortmund.de/ese</t>
    </r>
  </si>
  <si>
    <t>IELTS 6.5</t>
  </si>
  <si>
    <t>Enrolment fees are approx. 350 EUR per semester. The fee includes a semester ticket covering public transport in Germany.</t>
  </si>
  <si>
    <t>Approx. 900 EUR per month to cover personal expenses</t>
  </si>
  <si>
    <t>https://www2.daad.de/deutschland/studienangebote/international-programmes/en/detail/4513/#tab_overview</t>
  </si>
  <si>
    <t xml:space="preserve">Freiberg </t>
  </si>
  <si>
    <t>1 January – 15 April</t>
  </si>
  <si>
    <t>https://campus.tu-freiberg.de/qisserver/pages/cs/sys/portal/hisinoneStartPage.faces</t>
  </si>
  <si>
    <t>A completed Bachelor's degree or an equivalent degree in the field of Mechanical Engineering, Process Engineering or other comparable studies
OEFL with at least 90 points (Internet-based test), IELTS with at least 6.5 or equivalent English language certificates
This does not apply to students with English as a native language.</t>
  </si>
  <si>
    <t>107 EUR per semester</t>
  </si>
  <si>
    <t>650 EUR to 950 EUR per month, depending on individual lifestyle
Rent in a student hall of residence per month: an average of 290 EUR</t>
  </si>
  <si>
    <t>https://www2.daad.de/deutschland/studienangebote/international-programmes/en/detail/7028/#tab_costs</t>
  </si>
  <si>
    <t>Technische Hochschule Lübeck</t>
  </si>
  <si>
    <t>Non-EU applicants: 1 April to 1 June</t>
  </si>
  <si>
    <r>
      <rPr/>
      <t xml:space="preserve">Technische Hochschule Lübeck – University of Applied Sciences 
c/o uni-assist e.V.
11507 Berlin
Germany 
Online portal: uni-assist
For further information about our application process, please see here:
</t>
    </r>
    <r>
      <rPr>
        <color rgb="FF1155CC"/>
        <u/>
      </rPr>
      <t>https://www.th-luebeck.de/en/studies/application/step-by-step/.</t>
    </r>
  </si>
  <si>
    <t>1. A Bachelor's degree in Mechanical Engineering with 210 ECTS or equivalent
2. An overall grade of 2.5 (German grading system) or equivalent
3. fulfilment of language requirements according to our regulations
Conditional admission can be granted to applicants with a Bachelor's degree in Mechanical Engineering with 180 ECTS. Please contact us for further details.
Good knowledge of English is required in order to follow lecture modules.</t>
  </si>
  <si>
    <t>Approx. 330 EUR per semester, including public transportation in Schleswig-Holstein</t>
  </si>
  <si>
    <t>Approx. 900 EUR per month</t>
  </si>
  <si>
    <t>https://www2.daad.de/deutschland/studienangebote/international-programmes/en/detail/4352/#tab_overview</t>
  </si>
  <si>
    <t>Application period: Early May - May 31, 2025</t>
  </si>
  <si>
    <r>
      <rPr/>
      <t xml:space="preserve">If you are a prospective international student, the way to apply is determined by your citizenship, your desired degree programme, and your previous academic qualifications.
Further information on how to apply: </t>
    </r>
    <r>
      <rPr>
        <color rgb="FF1155CC"/>
        <u/>
      </rPr>
      <t>www.th-koeln.de/howtoapply</t>
    </r>
  </si>
  <si>
    <t>For admission to the Master's programme "Automation &amp; IT" (MEng), applicants are required to have successfully completed studies in the fields of electrical engineering or related fields (Bachelor's or comparable degree). 
The following application documents are required:
Graduation certificate (certified copy)
Curriculum vitae (in tabular form)
Proof of English proficiency (see language requirements)
A two-page description of your motivation to study, including your further research interests (in English)
IELTS (band 6.0)</t>
  </si>
  <si>
    <t>Approx. 335 EUR per semester</t>
  </si>
  <si>
    <t>Advanced Manufacturing – Mechanical Engineering and Production</t>
  </si>
  <si>
    <t>15 July for admission to start in October of the same year</t>
  </si>
  <si>
    <r>
      <rPr/>
      <t xml:space="preserve">Applications have to be submitted online through the new application portal: </t>
    </r>
    <r>
      <rPr>
        <color rgb="FF1155CC"/>
        <u/>
      </rPr>
      <t>www.EduApplication.de</t>
    </r>
  </si>
  <si>
    <t>IELTS 5.5 or MOI</t>
  </si>
  <si>
    <t>approx. 330 EUR</t>
  </si>
  <si>
    <t>Approx. 970 EUR per month to cover personal expenses</t>
  </si>
  <si>
    <t>https://www2.daad.de/deutschland/studienangebote/international-programmes/en/detail/7612/#tab_costs</t>
  </si>
  <si>
    <t>Basic Food Items</t>
  </si>
  <si>
    <t>Basic Essential Clothes</t>
  </si>
  <si>
    <t>Toiletries</t>
  </si>
  <si>
    <t>Ready to eat items</t>
  </si>
  <si>
    <t>Daily Wear Clothes</t>
  </si>
  <si>
    <t>Toothpaste</t>
  </si>
  <si>
    <t>- Maggi</t>
  </si>
  <si>
    <t>Casual Clothes</t>
  </si>
  <si>
    <t>Toothbrush</t>
  </si>
  <si>
    <t>- MTR / iD Ready to Eat packs</t>
  </si>
  <si>
    <t>Formal Clothes</t>
  </si>
  <si>
    <t>Deodorant/Perfume</t>
  </si>
  <si>
    <t>- Cup Noodles etc.</t>
  </si>
  <si>
    <t>- Shirt(at least 2-3)</t>
  </si>
  <si>
    <t>Soap/Body Wash</t>
  </si>
  <si>
    <t>- Pants((at least 2-3)</t>
  </si>
  <si>
    <t>Shampoo - Conditioner</t>
  </si>
  <si>
    <t>Rice</t>
  </si>
  <si>
    <t>Althought these things are easily available in Germany - carry enough items to last for the first week at least</t>
  </si>
  <si>
    <t>- Tie and Belt</t>
  </si>
  <si>
    <t>Ideally carry a bag for all the toiletries where you can keep all the things organised according to your needs and items that you are carrying</t>
  </si>
  <si>
    <t>Besan</t>
  </si>
  <si>
    <t>- Suit (Business/Formal Outfit)</t>
  </si>
  <si>
    <t>Skin Care</t>
  </si>
  <si>
    <t>Ghee</t>
  </si>
  <si>
    <t xml:space="preserve">- Moisturiser </t>
  </si>
  <si>
    <t>Sugar-Salt-Tea</t>
  </si>
  <si>
    <t>Footwear</t>
  </si>
  <si>
    <t>- Sunscreen</t>
  </si>
  <si>
    <t>Tea / Instant Coffee</t>
  </si>
  <si>
    <t>- Formal Shoes</t>
  </si>
  <si>
    <t>- Make up Items</t>
  </si>
  <si>
    <t>Pickle(Aachar)</t>
  </si>
  <si>
    <t>- Casual Shoes/Sneakers</t>
  </si>
  <si>
    <t>- Body Lotion</t>
  </si>
  <si>
    <t>Spices - Masale</t>
  </si>
  <si>
    <t>- Chappals/Sandals(if any)</t>
  </si>
  <si>
    <t>- Face Creams</t>
  </si>
  <si>
    <t>- Carry min. 100-200gm. each</t>
  </si>
  <si>
    <t>Inners and Unders</t>
  </si>
  <si>
    <t>Nail Clippers</t>
  </si>
  <si>
    <t>- Undershirts(Baniyan)</t>
  </si>
  <si>
    <t>Shaving Blade</t>
  </si>
  <si>
    <t>- Underwears</t>
  </si>
  <si>
    <t>Shaving Cream</t>
  </si>
  <si>
    <t>- Socks(preferably thick)</t>
  </si>
  <si>
    <t>Trimmer</t>
  </si>
  <si>
    <t>Utensils</t>
  </si>
  <si>
    <t>Winter Clothes</t>
  </si>
  <si>
    <t>Medication</t>
  </si>
  <si>
    <t>Pressure Cooker</t>
  </si>
  <si>
    <t>- Winter Jacket</t>
  </si>
  <si>
    <t>Basic Medicines</t>
  </si>
  <si>
    <t>Frying Pan</t>
  </si>
  <si>
    <t>- Thermal Wear</t>
  </si>
  <si>
    <t>Prescribed Medicines</t>
  </si>
  <si>
    <t>Saucepan</t>
  </si>
  <si>
    <t>- Gloves and cap</t>
  </si>
  <si>
    <t>Band Aids / Bandages</t>
  </si>
  <si>
    <t>- Raincoat / Windcheater</t>
  </si>
  <si>
    <t xml:space="preserve">Thermometer </t>
  </si>
  <si>
    <t>Basic Crockery</t>
  </si>
  <si>
    <t>Dettol</t>
  </si>
  <si>
    <t>- Knives</t>
  </si>
  <si>
    <t>Tradtional Clothes</t>
  </si>
  <si>
    <t>- Plates</t>
  </si>
  <si>
    <t>Nightwear Clothes</t>
  </si>
  <si>
    <t>Hair Brush/Comb</t>
  </si>
  <si>
    <t>- Glasses</t>
  </si>
  <si>
    <t>Hair Dryer</t>
  </si>
  <si>
    <t>Napkins and Towels</t>
  </si>
  <si>
    <t>Cotton Buds</t>
  </si>
  <si>
    <t>Chopping Board</t>
  </si>
  <si>
    <t>Shorts and Track Pants</t>
  </si>
  <si>
    <t>Sanitizer</t>
  </si>
  <si>
    <r>
      <rPr>
        <rFont val="Montserrat"/>
        <b/>
        <color theme="1"/>
        <sz val="11.0"/>
      </rPr>
      <t xml:space="preserve">Water Bottle </t>
    </r>
    <r>
      <rPr>
        <rFont val="Montserrat"/>
        <color theme="1"/>
        <sz val="11.0"/>
      </rPr>
      <t>(For Storage/Daily Use)</t>
    </r>
  </si>
  <si>
    <t>Jewellery Items</t>
  </si>
  <si>
    <t>Additional Utensils(if you need)</t>
  </si>
  <si>
    <t>- Belan</t>
  </si>
  <si>
    <t>- Chakla</t>
  </si>
  <si>
    <t>- Kadhai</t>
  </si>
  <si>
    <t>- Gaskets</t>
  </si>
  <si>
    <t>Personal Documents</t>
  </si>
  <si>
    <t>Electronics</t>
  </si>
  <si>
    <t>Misc.</t>
  </si>
  <si>
    <t>Your Passport</t>
  </si>
  <si>
    <t>Laptop</t>
  </si>
  <si>
    <t>Sunglasses</t>
  </si>
  <si>
    <t>Birth Certificate</t>
  </si>
  <si>
    <t>Tablet</t>
  </si>
  <si>
    <t>Contact lenses/Glasses</t>
  </si>
  <si>
    <t>Passport Size Photos</t>
  </si>
  <si>
    <t>Camera</t>
  </si>
  <si>
    <t>Purse / Wallet</t>
  </si>
  <si>
    <t>Student Visa</t>
  </si>
  <si>
    <t>Smartwatch</t>
  </si>
  <si>
    <t>Pillow and Pillow Covers</t>
  </si>
  <si>
    <t>Original Transcripts</t>
  </si>
  <si>
    <t>Storage Devices(Pen Drive)</t>
  </si>
  <si>
    <t>Bedsheets</t>
  </si>
  <si>
    <t>Degree Certificate(if available)</t>
  </si>
  <si>
    <t>Face Masks</t>
  </si>
  <si>
    <t>Identification Documents</t>
  </si>
  <si>
    <t>Chargers</t>
  </si>
  <si>
    <t>Umbrella</t>
  </si>
  <si>
    <t>University Admission Letter</t>
  </si>
  <si>
    <t>- Laptop Charger</t>
  </si>
  <si>
    <t>Stationary (Pen, Notebook, etc.)</t>
  </si>
  <si>
    <t>Language Certificates</t>
  </si>
  <si>
    <t>- Phone Charger</t>
  </si>
  <si>
    <t>Earbuds</t>
  </si>
  <si>
    <t>Exam Results/Scores</t>
  </si>
  <si>
    <t>- Smartwatch Charger</t>
  </si>
  <si>
    <t>Tissues</t>
  </si>
  <si>
    <t>Letters of Recommendation</t>
  </si>
  <si>
    <t>- Camera Charger</t>
  </si>
  <si>
    <t>Flight Ticket</t>
  </si>
  <si>
    <t>Travel Insurance</t>
  </si>
  <si>
    <t>Power Bank</t>
  </si>
  <si>
    <t>Universal Adapters</t>
  </si>
  <si>
    <t>Headphones/Earphones</t>
  </si>
  <si>
    <t xml:space="preserve">Kitchen: </t>
  </si>
  <si>
    <t>Spices &amp; cooking stuff:</t>
  </si>
  <si>
    <t>Essentials:</t>
  </si>
  <si>
    <t>1. Pan Set (dosa pan, kadai, curry pan )- with lid</t>
  </si>
  <si>
    <t>1. chilli poweder( for 1 year)</t>
  </si>
  <si>
    <t>1. Trimmer</t>
  </si>
  <si>
    <t>2. garitali (gunta garita, dosa garita , gallida garita, curry garita)</t>
  </si>
  <si>
    <t>2. dhaniya powder ( for 1 year)</t>
  </si>
  <si>
    <t>2. face wash-1(small)</t>
  </si>
  <si>
    <t>3. steel plate (optional)</t>
  </si>
  <si>
    <t>3. garam masala</t>
  </si>
  <si>
    <t>3. face powder-1(small)</t>
  </si>
  <si>
    <t>4. spoons (spoon n fork)</t>
  </si>
  <si>
    <t>4. mustard</t>
  </si>
  <si>
    <t>4. tooth paste</t>
  </si>
  <si>
    <t>5. knife</t>
  </si>
  <si>
    <t>5. jeera</t>
  </si>
  <si>
    <t>5. mouth fresher-1(small)</t>
  </si>
  <si>
    <t>6. thurumukunedi</t>
  </si>
  <si>
    <t>6. jeera powder</t>
  </si>
  <si>
    <t>6. tooth brushes (6)</t>
  </si>
  <si>
    <t>7. peeler</t>
  </si>
  <si>
    <t>7. pasupu</t>
  </si>
  <si>
    <t>7. tongue cleaner</t>
  </si>
  <si>
    <t>8. pressure cooker (extra gas-cut)</t>
  </si>
  <si>
    <t>8. baking soda</t>
  </si>
  <si>
    <t>8. handki</t>
  </si>
  <si>
    <t>9. milk ginne</t>
  </si>
  <si>
    <t>9. rock salt (optional)</t>
  </si>
  <si>
    <t>9. water bottle</t>
  </si>
  <si>
    <t>10. Thalimpu ginne</t>
  </si>
  <si>
    <t>10. tamrind (for 1 year)</t>
  </si>
  <si>
    <t>10. batteries</t>
  </si>
  <si>
    <t>11. idly plate</t>
  </si>
  <si>
    <t>11. biryani spices (lavangam, chekka, mogga, japatri, star annas, shahi jeera, bay leaves, biryani masala, chicken masala)</t>
  </si>
  <si>
    <t>11. purfumes</t>
  </si>
  <si>
    <t>12. mixer (optional)</t>
  </si>
  <si>
    <t>12. instant mix (Tamato mix, pulyogare, vangibath, bisebelabsth etc.,)</t>
  </si>
  <si>
    <t>12. Boost / Horlicks</t>
  </si>
  <si>
    <t>13. Tea stainer</t>
  </si>
  <si>
    <t>13. kandi pappu - 500g</t>
  </si>
  <si>
    <t>13. Bru coffee</t>
  </si>
  <si>
    <t>stationary:</t>
  </si>
  <si>
    <t>14. uddi pappu - 500g</t>
  </si>
  <si>
    <t>14. Medicines</t>
  </si>
  <si>
    <t>1. book</t>
  </si>
  <si>
    <t>15. pesara pappu - 500g</t>
  </si>
  <si>
    <t>15. extra pair spects</t>
  </si>
  <si>
    <t>2. pens</t>
  </si>
  <si>
    <t>16. chanaga pappu- 250g</t>
  </si>
  <si>
    <t>16. Documents (passport, indian driving license, certificates , admission letter, air ticket, vaccination proof, travel insurance)</t>
  </si>
  <si>
    <t>3. calculator</t>
  </si>
  <si>
    <t>17. menthulu - 50g</t>
  </si>
  <si>
    <t>17. universal adapter (3)</t>
  </si>
  <si>
    <t>4. file with few A4 sheets</t>
  </si>
  <si>
    <t>18. miriyalu - 100g</t>
  </si>
  <si>
    <t>18. extension box</t>
  </si>
  <si>
    <t>5. any books if needed</t>
  </si>
  <si>
    <t>19. pepper powder</t>
  </si>
  <si>
    <t>19. iron box</t>
  </si>
  <si>
    <t>cloths:</t>
  </si>
  <si>
    <t>20. nuvulu - 50g (white- optional)</t>
  </si>
  <si>
    <t>20. spicy box-(2)</t>
  </si>
  <si>
    <t>1. cotton jeans (formal pants)</t>
  </si>
  <si>
    <t>21. Rice - 2kg</t>
  </si>
  <si>
    <t>21. chargers</t>
  </si>
  <si>
    <t>2. Jeans</t>
  </si>
  <si>
    <t>22. maggi family packs -2</t>
  </si>
  <si>
    <t>22. power bank</t>
  </si>
  <si>
    <t>3. casuals</t>
  </si>
  <si>
    <t>23. samya - 1 packet</t>
  </si>
  <si>
    <t>23. wallet</t>
  </si>
  <si>
    <t>4. daily wear t-shirts</t>
  </si>
  <si>
    <t>24. ravva - 1 packet</t>
  </si>
  <si>
    <t>24. waist bag</t>
  </si>
  <si>
    <t>5. shorts/ joggers</t>
  </si>
  <si>
    <t>25. Atukulu - 100 gm</t>
  </si>
  <si>
    <t>25. oven proof box(1)</t>
  </si>
  <si>
    <t>6. Shirts</t>
  </si>
  <si>
    <t>26. pickles</t>
  </si>
  <si>
    <t>26. Soap, Shower-gel</t>
  </si>
  <si>
    <t>7. Inners(12)</t>
  </si>
  <si>
    <t>27. Dried karvepaku</t>
  </si>
  <si>
    <t>27. home wear slippers</t>
  </si>
  <si>
    <t>8. thermals (2)</t>
  </si>
  <si>
    <t>28. ginger garlic paste (optional)</t>
  </si>
  <si>
    <t>28. Sandles</t>
  </si>
  <si>
    <t>9. socks (10 pairs)</t>
  </si>
  <si>
    <t>29. coconut powder</t>
  </si>
  <si>
    <t>29. 1 pair shoe</t>
  </si>
  <si>
    <t>10. Traditional wear (3-5)</t>
  </si>
  <si>
    <t>30. peanuts</t>
  </si>
  <si>
    <t>30. Jacket</t>
  </si>
  <si>
    <t>11. blazer</t>
  </si>
  <si>
    <t>31. Jaggery</t>
  </si>
  <si>
    <t>31. pain killers</t>
  </si>
  <si>
    <t>12. Sweat shirts (3-4)</t>
  </si>
  <si>
    <t>32. Dhaniyalu (optional)</t>
  </si>
  <si>
    <t>32. Move/Volini</t>
  </si>
  <si>
    <t>13. hoodies (2-3)</t>
  </si>
  <si>
    <t>33. Appadalu / vadiyalu</t>
  </si>
  <si>
    <t>33. Zandubalm</t>
  </si>
  <si>
    <t>14. Towel (cotton &amp; Turkey)</t>
  </si>
  <si>
    <t>34. Ghee</t>
  </si>
  <si>
    <t>34. Travel card / Cash</t>
  </si>
  <si>
    <t>15. bedsheet (2)</t>
  </si>
  <si>
    <t>35. dry fruits</t>
  </si>
  <si>
    <t>35. small shampoo</t>
  </si>
  <si>
    <t>16. blanket (1)</t>
  </si>
  <si>
    <t>36. Sweets</t>
  </si>
  <si>
    <t>36. Moisturizer</t>
  </si>
  <si>
    <t>17. Belt</t>
  </si>
  <si>
    <t>37. snacks</t>
  </si>
  <si>
    <t>37. sanitizer</t>
  </si>
  <si>
    <t>18. Gloves</t>
  </si>
  <si>
    <t>38. home made things</t>
  </si>
  <si>
    <t>38. Laptop bag</t>
  </si>
  <si>
    <t>19. Scarfs</t>
  </si>
  <si>
    <t>39. pappula podi</t>
  </si>
  <si>
    <t>39. Watches</t>
  </si>
  <si>
    <t>20. sunglasses</t>
  </si>
  <si>
    <t>40. beauty products</t>
  </si>
  <si>
    <t>Aditya's Expenses</t>
  </si>
  <si>
    <t>Vishnu's Expenses</t>
  </si>
  <si>
    <t>ECTS Conversion</t>
  </si>
  <si>
    <t>Course Credits</t>
  </si>
  <si>
    <t>Date</t>
  </si>
  <si>
    <t>Expenses</t>
  </si>
  <si>
    <t>Amount</t>
  </si>
  <si>
    <t>17-01-2026</t>
  </si>
  <si>
    <t>19-01-2026</t>
  </si>
  <si>
    <t>Courier services</t>
  </si>
  <si>
    <t>Total</t>
  </si>
  <si>
    <t>APS Documents / Trackon</t>
  </si>
  <si>
    <t>https://www.trackon.in/courier-tracking</t>
  </si>
  <si>
    <t>Vishnu</t>
  </si>
  <si>
    <t>Aditya</t>
  </si>
  <si>
    <t>APS Time Line</t>
  </si>
  <si>
    <t>Filled the APS application form</t>
  </si>
  <si>
    <t>Sent a follow up email for correction</t>
  </si>
  <si>
    <t>Sent a follow up email for Update</t>
  </si>
  <si>
    <t>Received document verification email from APS, To send required digilocker documents</t>
  </si>
  <si>
    <t>Received an email stating that they have sent an email to my HOD</t>
  </si>
  <si>
    <t>Sent an followup email that the HOD has replied to the mail that has been sent to him</t>
  </si>
  <si>
    <t>Recived APS certificate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</si>
</sst>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yyyy"/>
    <numFmt numFmtId="165" formatCode="M/d/yyyy"/>
    <numFmt numFmtId="166" formatCode="[$₹]#,##0.00"/>
    <numFmt numFmtId="167" formatCode="d-mmm-yyyy"/>
  </numFmts>
  <fonts count="49">
    <font>
      <sz val="10.0"/>
      <color rgb="FF000000"/>
      <name val="Arial"/>
      <scheme val="minor"/>
    </font>
    <font>
      <b/>
      <sz val="12.0"/>
      <color theme="1"/>
      <name val="Times New Roman"/>
    </font>
    <font/>
    <font>
      <sz val="12.0"/>
      <color theme="1"/>
      <name val="Arial"/>
      <scheme val="minor"/>
    </font>
    <font>
      <sz val="12.0"/>
      <color theme="1"/>
      <name val="Times New Roman"/>
    </font>
    <font>
      <sz val="12.0"/>
      <color theme="1"/>
      <name val="Arial"/>
    </font>
    <font>
      <b/>
      <sz val="20.0"/>
      <color rgb="FFFFFFFF"/>
      <name val="Roboto"/>
    </font>
    <font>
      <b/>
      <i/>
      <sz val="30.0"/>
      <color rgb="FFFFFFFF"/>
      <name val="Roboto"/>
    </font>
    <font>
      <b/>
      <sz val="11.0"/>
      <color rgb="FFFFFFFF"/>
      <name val="Roboto"/>
    </font>
    <font>
      <color theme="1"/>
      <name val="Arial"/>
    </font>
    <font>
      <color rgb="FF434343"/>
      <name val="Roboto"/>
    </font>
    <font>
      <b/>
      <sz val="12.0"/>
      <color rgb="FF434343"/>
      <name val="Roboto"/>
    </font>
    <font>
      <i/>
      <color rgb="FF434343"/>
      <name val="Roboto"/>
    </font>
    <font>
      <b/>
      <u/>
      <sz val="15.0"/>
      <color rgb="FF1155CC"/>
      <name val="Roboto"/>
    </font>
    <font>
      <b/>
      <color rgb="FF434343"/>
      <name val="Roboto"/>
    </font>
    <font>
      <b/>
      <color theme="1"/>
      <name val="Times New Roman"/>
    </font>
    <font>
      <b/>
      <u/>
      <color rgb="FF0000FF"/>
      <name val="Georgia"/>
    </font>
    <font>
      <b/>
      <color theme="1"/>
      <name val="Georgia"/>
    </font>
    <font>
      <u/>
      <color rgb="FF191919"/>
      <name val="Arial"/>
    </font>
    <font>
      <color theme="1"/>
      <name val="Arial"/>
      <scheme val="minor"/>
    </font>
    <font>
      <color rgb="FF191919"/>
      <name val="Arial"/>
    </font>
    <font>
      <u/>
      <color rgb="FF191919"/>
      <name val="Arial"/>
    </font>
    <font>
      <u/>
      <color rgb="FF191919"/>
      <name val="BundesSansWeb"/>
    </font>
    <font>
      <b/>
      <sz val="11.0"/>
      <color theme="1"/>
      <name val="Trebuchet MS"/>
    </font>
    <font>
      <sz val="11.0"/>
      <color theme="1"/>
      <name val="Trebuchet MS"/>
    </font>
    <font>
      <u/>
      <sz val="11.0"/>
      <color rgb="FF1155CC"/>
      <name val="Trebuchet MS"/>
    </font>
    <font>
      <sz val="11.0"/>
      <color rgb="FF1E1E1E"/>
      <name val="Trebuchet MS"/>
    </font>
    <font>
      <b/>
      <color theme="1"/>
      <name val="Arial"/>
      <scheme val="minor"/>
    </font>
    <font>
      <u/>
      <color rgb="FF0000FF"/>
    </font>
    <font>
      <u/>
      <color rgb="FF0000FF"/>
    </font>
    <font>
      <color rgb="FF0000FF"/>
    </font>
    <font>
      <u/>
      <color rgb="FF0000FF"/>
    </font>
    <font>
      <u/>
      <color rgb="FF0000FF"/>
    </font>
    <font>
      <u/>
      <color rgb="FF1155CC"/>
      <name val="Arial"/>
    </font>
    <font>
      <u/>
      <color rgb="FF0000FF"/>
    </font>
    <font>
      <u/>
      <color rgb="FF0000FF"/>
    </font>
    <font>
      <b/>
      <sz val="24.0"/>
      <color theme="1"/>
      <name val="Montserrat"/>
    </font>
    <font>
      <b/>
      <sz val="11.0"/>
      <color rgb="FFFFFFFF"/>
      <name val="Montserrat"/>
    </font>
    <font>
      <b/>
      <sz val="24.0"/>
      <color rgb="FFFFFFFF"/>
      <name val="Montserrat"/>
    </font>
    <font>
      <b/>
      <sz val="11.0"/>
      <color theme="1"/>
      <name val="Montserrat"/>
    </font>
    <font>
      <sz val="11.0"/>
      <color theme="1"/>
      <name val="Montserrat"/>
    </font>
    <font>
      <i/>
      <sz val="11.0"/>
      <color theme="1"/>
      <name val="Montserrat"/>
    </font>
    <font>
      <i/>
      <sz val="12.0"/>
      <color theme="1"/>
      <name val="Montserrat"/>
    </font>
    <font>
      <b/>
      <u/>
      <sz val="20.0"/>
      <color rgb="FF4A86E8"/>
      <name val="Montserrat"/>
    </font>
    <font>
      <b/>
      <u/>
      <sz val="20.0"/>
      <color rgb="FF274E13"/>
      <name val="Montserrat"/>
    </font>
    <font>
      <b/>
      <color theme="1"/>
      <name val="Montserrat"/>
    </font>
    <font>
      <sz val="11.0"/>
      <color rgb="FFF1F1F1"/>
      <name val="Roboto"/>
    </font>
    <font>
      <sz val="11.0"/>
      <color theme="1"/>
      <name val="Times New Roman"/>
    </font>
    <font>
      <b/>
      <color rgb="FF333333"/>
      <name val="Roboto"/>
    </font>
  </fonts>
  <fills count="19">
    <fill>
      <patternFill patternType="none"/>
    </fill>
    <fill>
      <patternFill patternType="lightGray"/>
    </fill>
    <fill>
      <patternFill patternType="solid">
        <fgColor rgb="FFFFFF00"/>
        <bgColor rgb="FFFFFF00"/>
      </patternFill>
    </fill>
    <fill>
      <patternFill patternType="solid">
        <fgColor rgb="FF4A86E8"/>
        <bgColor rgb="FF4A86E8"/>
      </patternFill>
    </fill>
    <fill>
      <patternFill patternType="solid">
        <fgColor rgb="FF93C47D"/>
        <bgColor rgb="FF93C47D"/>
      </patternFill>
    </fill>
    <fill>
      <patternFill patternType="solid">
        <fgColor rgb="FFFFFFFF"/>
        <bgColor rgb="FFFFFFFF"/>
      </patternFill>
    </fill>
    <fill>
      <patternFill patternType="solid">
        <fgColor rgb="FF0F9D58"/>
        <bgColor rgb="FF0F9D58"/>
      </patternFill>
    </fill>
    <fill>
      <patternFill patternType="solid">
        <fgColor rgb="FF0D904F"/>
        <bgColor rgb="FF0D904F"/>
      </patternFill>
    </fill>
    <fill>
      <patternFill patternType="solid">
        <fgColor rgb="FFFFF2CC"/>
        <bgColor rgb="FFFFF2CC"/>
      </patternFill>
    </fill>
    <fill>
      <patternFill patternType="solid">
        <fgColor rgb="FFD9EAD3"/>
        <bgColor rgb="FFD9EAD3"/>
      </patternFill>
    </fill>
    <fill>
      <patternFill patternType="solid">
        <fgColor rgb="FF8E7CC3"/>
        <bgColor rgb="FF8E7CC3"/>
      </patternFill>
    </fill>
    <fill>
      <patternFill patternType="solid">
        <fgColor rgb="FFCC4125"/>
        <bgColor rgb="FFCC4125"/>
      </patternFill>
    </fill>
    <fill>
      <patternFill patternType="solid">
        <fgColor rgb="FFD9D2E9"/>
        <bgColor rgb="FFD9D2E9"/>
      </patternFill>
    </fill>
    <fill>
      <patternFill patternType="solid">
        <fgColor rgb="FF0B5394"/>
        <bgColor rgb="FF0B5394"/>
      </patternFill>
    </fill>
    <fill>
      <patternFill patternType="solid">
        <fgColor rgb="FF3D85C6"/>
        <bgColor rgb="FF3D85C6"/>
      </patternFill>
    </fill>
    <fill>
      <patternFill patternType="solid">
        <fgColor rgb="FF0F0F0F"/>
        <bgColor rgb="FF0F0F0F"/>
      </patternFill>
    </fill>
    <fill>
      <patternFill patternType="solid">
        <fgColor rgb="FF00FF00"/>
        <bgColor rgb="FF00FF00"/>
      </patternFill>
    </fill>
    <fill>
      <patternFill patternType="solid">
        <fgColor rgb="FFFF9900"/>
        <bgColor rgb="FFFF9900"/>
      </patternFill>
    </fill>
    <fill>
      <patternFill patternType="solid">
        <fgColor rgb="FFFFD966"/>
        <bgColor rgb="FFFFD966"/>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hair">
        <color rgb="FFD9D9D9"/>
      </bottom>
    </border>
    <border>
      <left style="dotted">
        <color rgb="FFCCCCCC"/>
      </left>
      <right style="dotted">
        <color rgb="FFCCCCCC"/>
      </right>
      <top style="dotted">
        <color rgb="FFCCCCCC"/>
      </top>
      <bottom style="dotted">
        <color rgb="FFCCCCCC"/>
      </bottom>
    </border>
    <border>
      <top style="hair">
        <color rgb="FFD9D9D9"/>
      </top>
      <bottom style="hair">
        <color rgb="FFD9D9D9"/>
      </bottom>
    </border>
    <border>
      <top style="hair">
        <color rgb="FFD9D9D9"/>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style="thick">
        <color rgb="FF000000"/>
      </lef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vertical="bottom"/>
    </xf>
    <xf borderId="4" fillId="0" fontId="4" numFmtId="0" xfId="0" applyAlignment="1" applyBorder="1" applyFont="1">
      <alignment horizontal="center" vertical="bottom"/>
    </xf>
    <xf borderId="4" fillId="0" fontId="4" numFmtId="0" xfId="0" applyAlignment="1" applyBorder="1" applyFont="1">
      <alignment horizontal="center" shrinkToFit="0" vertical="bottom" wrapText="1"/>
    </xf>
    <xf borderId="4" fillId="0" fontId="5" numFmtId="0" xfId="0" applyAlignment="1" applyBorder="1" applyFont="1">
      <alignment readingOrder="0" vertical="bottom"/>
    </xf>
    <xf borderId="1" fillId="4" fontId="1" numFmtId="0" xfId="0" applyAlignment="1" applyBorder="1" applyFill="1" applyFont="1">
      <alignment horizontal="center" readingOrder="0"/>
    </xf>
    <xf borderId="0" fillId="5" fontId="1" numFmtId="0" xfId="0" applyAlignment="1" applyFill="1" applyFont="1">
      <alignment horizontal="center" readingOrder="0"/>
    </xf>
    <xf borderId="0" fillId="6" fontId="6" numFmtId="0" xfId="0" applyAlignment="1" applyFill="1" applyFont="1">
      <alignment horizontal="center" shrinkToFit="0" vertical="bottom" wrapText="1"/>
    </xf>
    <xf borderId="0" fillId="6" fontId="7" numFmtId="0" xfId="0" applyAlignment="1" applyFont="1">
      <alignment horizontal="center" vertical="bottom"/>
    </xf>
    <xf borderId="0" fillId="7" fontId="8" numFmtId="0" xfId="0" applyAlignment="1" applyFill="1" applyFont="1">
      <alignment horizontal="center"/>
    </xf>
    <xf borderId="0" fillId="7" fontId="8" numFmtId="0" xfId="0" applyFont="1"/>
    <xf borderId="0" fillId="7" fontId="9" numFmtId="0" xfId="0" applyFont="1"/>
    <xf borderId="1" fillId="6" fontId="6" numFmtId="0" xfId="0" applyAlignment="1" applyBorder="1" applyFont="1">
      <alignment horizontal="center"/>
    </xf>
    <xf borderId="5" fillId="0" fontId="10" numFmtId="0" xfId="0" applyAlignment="1" applyBorder="1" applyFont="1">
      <alignment horizontal="center" readingOrder="0"/>
    </xf>
    <xf borderId="5" fillId="0" fontId="11" numFmtId="0" xfId="0" applyBorder="1" applyFont="1"/>
    <xf borderId="6" fillId="0" fontId="9" numFmtId="0" xfId="0" applyBorder="1" applyFont="1"/>
    <xf borderId="7" fillId="0" fontId="10" numFmtId="0" xfId="0" applyAlignment="1" applyBorder="1" applyFont="1">
      <alignment horizontal="center" readingOrder="0"/>
    </xf>
    <xf borderId="7" fillId="0" fontId="11" numFmtId="0" xfId="0" applyBorder="1" applyFont="1"/>
    <xf borderId="6" fillId="5" fontId="12" numFmtId="0" xfId="0" applyAlignment="1" applyBorder="1" applyFont="1">
      <alignment shrinkToFit="0" vertical="bottom" wrapText="1"/>
    </xf>
    <xf borderId="6" fillId="0" fontId="12" numFmtId="0" xfId="0" applyBorder="1" applyFont="1"/>
    <xf borderId="7" fillId="0" fontId="10" numFmtId="0" xfId="0" applyAlignment="1" applyBorder="1" applyFont="1">
      <alignment horizontal="center"/>
    </xf>
    <xf borderId="6" fillId="0" fontId="12" numFmtId="0" xfId="0" applyAlignment="1" applyBorder="1" applyFont="1">
      <alignment shrinkToFit="0" wrapText="1"/>
    </xf>
    <xf borderId="8" fillId="0" fontId="10" numFmtId="0" xfId="0" applyAlignment="1" applyBorder="1" applyFont="1">
      <alignment horizontal="center" readingOrder="0"/>
    </xf>
    <xf borderId="8" fillId="0" fontId="11" numFmtId="0" xfId="0" applyBorder="1" applyFont="1"/>
    <xf borderId="6" fillId="0" fontId="13" numFmtId="0" xfId="0" applyAlignment="1" applyBorder="1" applyFont="1">
      <alignment shrinkToFit="0" wrapText="1"/>
    </xf>
    <xf borderId="6" fillId="0" fontId="10" numFmtId="0" xfId="0" applyBorder="1" applyFont="1"/>
    <xf borderId="6" fillId="0" fontId="14" numFmtId="0" xfId="0" applyBorder="1" applyFont="1"/>
    <xf borderId="7" fillId="0" fontId="9" numFmtId="0" xfId="0" applyBorder="1" applyFont="1"/>
    <xf borderId="1" fillId="2" fontId="15" numFmtId="0" xfId="0" applyAlignment="1" applyBorder="1" applyFont="1">
      <alignment horizontal="center" readingOrder="0"/>
    </xf>
    <xf borderId="4" fillId="2" fontId="16" numFmtId="0" xfId="0" applyAlignment="1" applyBorder="1" applyFont="1">
      <alignment horizontal="center" vertical="center"/>
    </xf>
    <xf borderId="4" fillId="2" fontId="17" numFmtId="0" xfId="0" applyAlignment="1" applyBorder="1" applyFont="1">
      <alignment horizontal="center" vertical="center"/>
    </xf>
    <xf borderId="4" fillId="2" fontId="17" numFmtId="0" xfId="0" applyAlignment="1" applyBorder="1" applyFont="1">
      <alignment horizontal="center" shrinkToFit="0" vertical="center" wrapText="1"/>
    </xf>
    <xf borderId="4" fillId="0" fontId="9" numFmtId="0" xfId="0" applyAlignment="1" applyBorder="1" applyFont="1">
      <alignment horizontal="right" vertical="bottom"/>
    </xf>
    <xf borderId="4" fillId="5" fontId="18" numFmtId="0" xfId="0" applyAlignment="1" applyBorder="1" applyFont="1">
      <alignment vertical="top"/>
    </xf>
    <xf borderId="4" fillId="0" fontId="19" numFmtId="0" xfId="0" applyBorder="1" applyFont="1"/>
    <xf borderId="4" fillId="5" fontId="20" numFmtId="0" xfId="0" applyAlignment="1" applyBorder="1" applyFont="1">
      <alignment vertical="top"/>
    </xf>
    <xf borderId="4" fillId="5" fontId="21" numFmtId="0" xfId="0" applyAlignment="1" applyBorder="1" applyFont="1">
      <alignment shrinkToFit="0" vertical="top" wrapText="1"/>
    </xf>
    <xf borderId="9" fillId="5" fontId="20" numFmtId="0" xfId="0" applyAlignment="1" applyBorder="1" applyFont="1">
      <alignment vertical="top"/>
    </xf>
    <xf borderId="4" fillId="0" fontId="9" numFmtId="0" xfId="0" applyAlignment="1" applyBorder="1" applyFont="1">
      <alignment vertical="bottom"/>
    </xf>
    <xf borderId="10" fillId="0" fontId="2" numFmtId="0" xfId="0" applyBorder="1" applyFont="1"/>
    <xf borderId="11" fillId="0" fontId="2" numFmtId="0" xfId="0" applyBorder="1" applyFont="1"/>
    <xf borderId="4" fillId="5" fontId="22" numFmtId="0" xfId="0" applyAlignment="1" applyBorder="1" applyFont="1">
      <alignment vertical="top"/>
    </xf>
    <xf borderId="0" fillId="0" fontId="23" numFmtId="0" xfId="0" applyAlignment="1" applyFont="1">
      <alignment horizontal="center" readingOrder="0" shrinkToFit="0" vertical="top" wrapText="0"/>
    </xf>
    <xf borderId="0" fillId="0" fontId="23" numFmtId="0" xfId="0" applyAlignment="1" applyFont="1">
      <alignment horizontal="left" readingOrder="0" shrinkToFit="0" vertical="center" wrapText="1"/>
    </xf>
    <xf borderId="0" fillId="0" fontId="23" numFmtId="0" xfId="0" applyAlignment="1" applyFont="1">
      <alignment horizontal="left" readingOrder="0" shrinkToFit="0" vertical="top" wrapText="0"/>
    </xf>
    <xf borderId="11" fillId="0" fontId="24" numFmtId="0" xfId="0" applyAlignment="1" applyBorder="1" applyFont="1">
      <alignment horizontal="center" shrinkToFit="0" vertical="center" wrapText="1"/>
    </xf>
    <xf borderId="12" fillId="0" fontId="24" numFmtId="0" xfId="0" applyAlignment="1" applyBorder="1" applyFont="1">
      <alignment horizontal="center" shrinkToFit="0" vertical="center" wrapText="1"/>
    </xf>
    <xf borderId="12" fillId="0" fontId="25" numFmtId="0" xfId="0" applyAlignment="1" applyBorder="1" applyFont="1">
      <alignment horizontal="center" shrinkToFit="0" vertical="center" wrapText="1"/>
    </xf>
    <xf borderId="12" fillId="0" fontId="24" numFmtId="0" xfId="0" applyAlignment="1" applyBorder="1" applyFont="1">
      <alignment shrinkToFit="0" vertical="center" wrapText="1"/>
    </xf>
    <xf borderId="11" fillId="0" fontId="24" numFmtId="0" xfId="0" applyAlignment="1" applyBorder="1" applyFont="1">
      <alignment shrinkToFit="0" vertical="center" wrapText="1"/>
    </xf>
    <xf borderId="13" fillId="5" fontId="26" numFmtId="0" xfId="0" applyAlignment="1" applyBorder="1" applyFont="1">
      <alignment horizontal="center" shrinkToFit="0" vertical="center" wrapText="1"/>
    </xf>
    <xf borderId="4" fillId="2" fontId="27" numFmtId="0" xfId="0" applyAlignment="1" applyBorder="1" applyFont="1">
      <alignment horizontal="center" readingOrder="0" vertical="center"/>
    </xf>
    <xf borderId="0" fillId="0" fontId="28" numFmtId="0" xfId="0" applyAlignment="1" applyFont="1">
      <alignment readingOrder="0"/>
    </xf>
    <xf borderId="0" fillId="0" fontId="19" numFmtId="0" xfId="0" applyAlignment="1" applyFont="1">
      <alignment horizontal="center" readingOrder="0" vertical="center"/>
    </xf>
    <xf borderId="0" fillId="0" fontId="29" numFmtId="0" xfId="0" applyAlignment="1" applyFont="1">
      <alignment readingOrder="0" shrinkToFit="0" vertical="center" wrapText="1"/>
    </xf>
    <xf borderId="0" fillId="0" fontId="19" numFmtId="0" xfId="0" applyAlignment="1" applyFont="1">
      <alignment readingOrder="0" shrinkToFit="0" vertical="center" wrapText="1"/>
    </xf>
    <xf borderId="0" fillId="0" fontId="30" numFmtId="0" xfId="0" applyAlignment="1" applyFont="1">
      <alignment readingOrder="0"/>
    </xf>
    <xf borderId="0" fillId="0" fontId="31" numFmtId="0" xfId="0" applyAlignment="1" applyFont="1">
      <alignment readingOrder="0" shrinkToFit="0" wrapText="1"/>
    </xf>
    <xf borderId="0" fillId="0" fontId="19" numFmtId="164" xfId="0" applyAlignment="1" applyFont="1" applyNumberFormat="1">
      <alignment horizontal="center" readingOrder="0" vertical="center"/>
    </xf>
    <xf borderId="0" fillId="0" fontId="32" numFmtId="0" xfId="0" applyAlignment="1" applyFont="1">
      <alignment readingOrder="0" shrinkToFit="0" vertical="center" wrapText="1"/>
    </xf>
    <xf borderId="0" fillId="0" fontId="19" numFmtId="0" xfId="0" applyAlignment="1" applyFont="1">
      <alignment readingOrder="0"/>
    </xf>
    <xf borderId="0" fillId="0" fontId="19" numFmtId="0" xfId="0" applyAlignment="1" applyFont="1">
      <alignment readingOrder="0" shrinkToFit="0" wrapText="1"/>
    </xf>
    <xf borderId="0" fillId="0" fontId="33" numFmtId="0" xfId="0" applyAlignment="1" applyFont="1">
      <alignment shrinkToFit="0" vertical="center" wrapText="1"/>
    </xf>
    <xf borderId="0" fillId="0" fontId="19" numFmtId="0" xfId="0" applyAlignment="1" applyFont="1">
      <alignment readingOrder="0" shrinkToFit="0" vertical="center" wrapText="1"/>
    </xf>
    <xf borderId="0" fillId="0" fontId="19" numFmtId="0" xfId="0" applyAlignment="1" applyFont="1">
      <alignment readingOrder="0" shrinkToFit="0" wrapText="1"/>
    </xf>
    <xf borderId="0" fillId="0" fontId="19" numFmtId="0" xfId="0" applyAlignment="1" applyFont="1">
      <alignment readingOrder="0"/>
    </xf>
    <xf borderId="0" fillId="0" fontId="19" numFmtId="0" xfId="0" applyAlignment="1" applyFont="1">
      <alignment readingOrder="0" shrinkToFit="0" wrapText="1"/>
    </xf>
    <xf borderId="0" fillId="0" fontId="34" numFmtId="0" xfId="0" applyAlignment="1" applyFont="1">
      <alignment readingOrder="0"/>
    </xf>
    <xf borderId="0" fillId="0" fontId="35" numFmtId="0" xfId="0" applyAlignment="1" applyFont="1">
      <alignment readingOrder="0" shrinkToFit="0" wrapText="1"/>
    </xf>
    <xf borderId="0" fillId="0" fontId="9" numFmtId="0" xfId="0" applyAlignment="1" applyFont="1">
      <alignment vertical="bottom"/>
    </xf>
    <xf borderId="0" fillId="8" fontId="36" numFmtId="0" xfId="0" applyAlignment="1" applyFill="1" applyFont="1">
      <alignment vertical="bottom"/>
    </xf>
    <xf borderId="0" fillId="9" fontId="36" numFmtId="0" xfId="0" applyAlignment="1" applyFill="1" applyFont="1">
      <alignment horizontal="center" vertical="bottom"/>
    </xf>
    <xf borderId="0" fillId="5" fontId="37" numFmtId="0" xfId="0" applyAlignment="1" applyFont="1">
      <alignment shrinkToFit="0" vertical="bottom" wrapText="1"/>
    </xf>
    <xf borderId="0" fillId="10" fontId="38" numFmtId="0" xfId="0" applyAlignment="1" applyFill="1" applyFont="1">
      <alignment vertical="bottom"/>
    </xf>
    <xf borderId="0" fillId="11" fontId="38" numFmtId="0" xfId="0" applyAlignment="1" applyFill="1" applyFont="1">
      <alignment vertical="bottom"/>
    </xf>
    <xf borderId="0" fillId="0" fontId="39" numFmtId="0" xfId="0" applyAlignment="1" applyFont="1">
      <alignment vertical="bottom"/>
    </xf>
    <xf borderId="0" fillId="0" fontId="40" numFmtId="0" xfId="0" applyAlignment="1" applyFont="1">
      <alignment horizontal="center" readingOrder="0"/>
    </xf>
    <xf borderId="0" fillId="0" fontId="40" numFmtId="0" xfId="0" applyAlignment="1" applyFont="1">
      <alignment horizontal="center"/>
    </xf>
    <xf borderId="0" fillId="0" fontId="40" numFmtId="0" xfId="0" applyAlignment="1" applyFont="1">
      <alignment vertical="bottom"/>
    </xf>
    <xf borderId="0" fillId="0" fontId="41" numFmtId="0" xfId="0" applyAlignment="1" applyFont="1">
      <alignment shrinkToFit="0" vertical="bottom" wrapText="1"/>
    </xf>
    <xf borderId="14" fillId="0" fontId="42" numFmtId="0" xfId="0" applyAlignment="1" applyBorder="1" applyFont="1">
      <alignment shrinkToFit="0" vertical="bottom" wrapText="1"/>
    </xf>
    <xf borderId="14" fillId="0" fontId="2" numFmtId="0" xfId="0" applyBorder="1" applyFont="1"/>
    <xf borderId="0" fillId="12" fontId="36" numFmtId="0" xfId="0" applyAlignment="1" applyFill="1" applyFont="1">
      <alignment vertical="bottom"/>
    </xf>
    <xf borderId="0" fillId="0" fontId="43" numFmtId="0" xfId="0" applyAlignment="1" applyFont="1">
      <alignment vertical="bottom"/>
    </xf>
    <xf borderId="0" fillId="0" fontId="44" numFmtId="0" xfId="0" applyAlignment="1" applyFont="1">
      <alignment vertical="bottom"/>
    </xf>
    <xf borderId="0" fillId="0" fontId="40" numFmtId="0" xfId="0" applyAlignment="1" applyFont="1">
      <alignment shrinkToFit="0" vertical="bottom" wrapText="1"/>
    </xf>
    <xf borderId="0" fillId="13" fontId="38" numFmtId="0" xfId="0" applyAlignment="1" applyFill="1" applyFont="1">
      <alignment vertical="bottom"/>
    </xf>
    <xf borderId="0" fillId="14" fontId="38" numFmtId="0" xfId="0" applyAlignment="1" applyFill="1" applyFont="1">
      <alignment vertical="bottom"/>
    </xf>
    <xf borderId="0" fillId="0" fontId="9" numFmtId="0" xfId="0" applyFont="1"/>
    <xf borderId="0" fillId="0" fontId="45" numFmtId="0" xfId="0" applyAlignment="1" applyFont="1">
      <alignment vertical="bottom"/>
    </xf>
    <xf borderId="0" fillId="5" fontId="39" numFmtId="0" xfId="0" applyAlignment="1" applyFont="1">
      <alignment vertical="bottom"/>
    </xf>
    <xf borderId="0" fillId="0" fontId="39" numFmtId="0" xfId="0" applyAlignment="1" applyFont="1">
      <alignment shrinkToFit="0" vertical="bottom" wrapText="1"/>
    </xf>
    <xf borderId="0" fillId="15" fontId="46" numFmtId="0" xfId="0" applyAlignment="1" applyFill="1" applyFont="1">
      <alignment vertical="bottom"/>
    </xf>
    <xf borderId="0" fillId="0" fontId="9" numFmtId="0" xfId="0" applyAlignment="1" applyFont="1">
      <alignment shrinkToFit="0" vertical="bottom" wrapText="1"/>
    </xf>
    <xf borderId="4" fillId="16" fontId="15" numFmtId="0" xfId="0" applyAlignment="1" applyBorder="1" applyFill="1" applyFont="1">
      <alignment horizontal="center" readingOrder="0"/>
    </xf>
    <xf borderId="4" fillId="17" fontId="15" numFmtId="0" xfId="0" applyAlignment="1" applyBorder="1" applyFill="1" applyFont="1">
      <alignment horizontal="center" readingOrder="0"/>
    </xf>
    <xf borderId="4" fillId="0" fontId="19" numFmtId="0" xfId="0" applyAlignment="1" applyBorder="1" applyFont="1">
      <alignment horizontal="center"/>
    </xf>
    <xf borderId="4" fillId="0" fontId="19" numFmtId="0" xfId="0" applyAlignment="1" applyBorder="1" applyFont="1">
      <alignment horizontal="center" readingOrder="0"/>
    </xf>
    <xf borderId="4" fillId="0" fontId="47" numFmtId="165" xfId="0" applyAlignment="1" applyBorder="1" applyFont="1" applyNumberFormat="1">
      <alignment horizontal="center" readingOrder="0"/>
    </xf>
    <xf borderId="4" fillId="0" fontId="47" numFmtId="0" xfId="0" applyAlignment="1" applyBorder="1" applyFont="1">
      <alignment horizontal="center" readingOrder="0"/>
    </xf>
    <xf borderId="4" fillId="0" fontId="47" numFmtId="166" xfId="0" applyAlignment="1" applyBorder="1" applyFont="1" applyNumberFormat="1">
      <alignment horizontal="center" readingOrder="0"/>
    </xf>
    <xf borderId="0" fillId="0" fontId="19" numFmtId="0" xfId="0" applyFont="1"/>
    <xf borderId="4" fillId="0" fontId="47" numFmtId="0" xfId="0" applyAlignment="1" applyBorder="1" applyFont="1">
      <alignment horizontal="center"/>
    </xf>
    <xf borderId="4" fillId="16" fontId="47" numFmtId="0" xfId="0" applyAlignment="1" applyBorder="1" applyFont="1">
      <alignment horizontal="center" readingOrder="0"/>
    </xf>
    <xf borderId="4" fillId="16" fontId="47" numFmtId="0" xfId="0" applyAlignment="1" applyBorder="1" applyFont="1">
      <alignment horizontal="center"/>
    </xf>
    <xf borderId="4" fillId="16" fontId="47" numFmtId="166" xfId="0" applyAlignment="1" applyBorder="1" applyFont="1" applyNumberFormat="1">
      <alignment horizontal="center"/>
    </xf>
    <xf borderId="0" fillId="0" fontId="47" numFmtId="0" xfId="0" applyFont="1"/>
    <xf borderId="1" fillId="18" fontId="19" numFmtId="0" xfId="0" applyAlignment="1" applyBorder="1" applyFill="1" applyFont="1">
      <alignment horizontal="center" readingOrder="0"/>
    </xf>
    <xf borderId="4" fillId="0" fontId="15" numFmtId="0" xfId="0" applyAlignment="1" applyBorder="1" applyFont="1">
      <alignment horizontal="center" readingOrder="0"/>
    </xf>
    <xf borderId="4" fillId="5" fontId="48" numFmtId="0" xfId="0" applyAlignment="1" applyBorder="1" applyFont="1">
      <alignment horizontal="center" readingOrder="0"/>
    </xf>
    <xf borderId="1" fillId="17" fontId="1" numFmtId="0" xfId="0" applyAlignment="1" applyBorder="1" applyFont="1">
      <alignment horizontal="center" readingOrder="0"/>
    </xf>
    <xf borderId="4" fillId="0" fontId="4" numFmtId="167" xfId="0" applyAlignment="1" applyBorder="1" applyFont="1" applyNumberFormat="1">
      <alignment horizontal="center" readingOrder="0"/>
    </xf>
    <xf borderId="4" fillId="0" fontId="4" numFmtId="0" xfId="0" applyAlignment="1" applyBorder="1" applyFont="1">
      <alignment horizontal="center" readingOrder="0"/>
    </xf>
    <xf borderId="4" fillId="0" fontId="4" numFmtId="0" xfId="0" applyAlignment="1" applyBorder="1" applyFont="1">
      <alignment horizontal="center" readingOrder="0" shrinkToFit="0" vertical="center" wrapText="1"/>
    </xf>
    <xf borderId="4" fillId="0" fontId="4" numFmtId="0" xfId="0" applyAlignment="1" applyBorder="1" applyFont="1">
      <alignment horizontal="center"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ist of universit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88" displayName="Universities" name="Universities" id="1">
  <autoFilter ref="$A$1:$V$88">
    <filterColumn colId="14">
      <filters>
        <filter val="not required"/>
        <filter val="GRE required"/>
      </filters>
    </filterColumn>
    <filterColumn colId="9">
      <filters>
        <filter val="5500 EUR"/>
        <filter val="5500 EUR per semester"/>
        <filter val="approx 1500 EUR per semester"/>
        <filter val="None"/>
      </filters>
    </filterColumn>
    <filterColumn colId="4">
      <filters>
        <filter val="English"/>
        <filter val="German, English"/>
      </filters>
    </filterColumn>
  </autoFilter>
  <tableColumns count="22">
    <tableColumn name="SR.No." id="1"/>
    <tableColumn name="University " id="2"/>
    <tableColumn name="Location" id="3"/>
    <tableColumn name="Course " id="4"/>
    <tableColumn name="Course_x000a_ language" id="5"/>
    <tableColumn name="No of _x000a_Sem" id="6"/>
    <tableColumn name="Intake" id="7"/>
    <tableColumn name="Application_x000a_ Start Date" id="8"/>
    <tableColumn name="Application _x000a_Deadline" id="9"/>
    <tableColumn name="Fees" id="10"/>
    <tableColumn name="Semester _x000a_Contributions" id="11"/>
    <tableColumn name="IELTS_x000a_ Score" id="12"/>
    <tableColumn name="TOEFL _x000a_Score" id="13"/>
    <tableColumn name="German_x000a_ Language" id="14"/>
    <tableColumn name="GRE/GATE" id="15"/>
    <tableColumn name="Work experience" id="16"/>
    <tableColumn name="Application _x000a_Via" id="17"/>
    <tableColumn name="Website _x000a_Link" id="18"/>
    <tableColumn name="Documents _x000a_required" id="19"/>
    <tableColumn name="Bachelors accepted_x000a_ for this course" id="20"/>
    <tableColumn name="German GPA _x000a_required" id="21"/>
    <tableColumn name="APS Required _x000a_with Application " id="22"/>
  </tableColumns>
  <tableStyleInfo name="List of univers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dia.diplo.de/blob/2616800/ac9777eb86d0062abacd07b251533d2c/students-data.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dia.diplo.de/blob/2616800/ac9777eb86d0062abacd07b251533d2c/students-data.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videx.diplo.de/videx/visum-erfassung/videx-langfristiger-aufenthalt" TargetMode="External"/><Relationship Id="rId10" Type="http://schemas.openxmlformats.org/officeDocument/2006/relationships/hyperlink" Target="http://s.no/" TargetMode="External"/><Relationship Id="rId13" Type="http://schemas.openxmlformats.org/officeDocument/2006/relationships/hyperlink" Target="https://india.diplo.de/in-en/2673038-2673038" TargetMode="External"/><Relationship Id="rId12" Type="http://schemas.openxmlformats.org/officeDocument/2006/relationships/hyperlink" Target="https://videx.diplo.de/videx/visum-erfassung/videx-langfristiger-aufenthalt" TargetMode="External"/><Relationship Id="rId1" Type="http://schemas.openxmlformats.org/officeDocument/2006/relationships/hyperlink" Target="http://s.no/" TargetMode="External"/><Relationship Id="rId2" Type="http://schemas.openxmlformats.org/officeDocument/2006/relationships/hyperlink" Target="https://videx.diplo.de/videx/visum-erfassung/videx-langfristiger-aufenthalt" TargetMode="External"/><Relationship Id="rId3" Type="http://schemas.openxmlformats.org/officeDocument/2006/relationships/hyperlink" Target="https://videx.diplo.de/videx/visum-erfassung/videx-langfristiger-aufenthalt" TargetMode="External"/><Relationship Id="rId4" Type="http://schemas.openxmlformats.org/officeDocument/2006/relationships/hyperlink" Target="https://india.diplo.de/in-en/2673038-2673038" TargetMode="External"/><Relationship Id="rId9" Type="http://schemas.openxmlformats.org/officeDocument/2006/relationships/hyperlink" Target="https://india.diplo.de/in-en/service/-/1984578" TargetMode="External"/><Relationship Id="rId15" Type="http://schemas.openxmlformats.org/officeDocument/2006/relationships/hyperlink" Target="https://aps-india.de/" TargetMode="External"/><Relationship Id="rId14" Type="http://schemas.openxmlformats.org/officeDocument/2006/relationships/hyperlink" Target="https://aps-india.de/" TargetMode="External"/><Relationship Id="rId17" Type="http://schemas.openxmlformats.org/officeDocument/2006/relationships/hyperlink" Target="https://india.diplo.de/in-en/service/-/2633528?openAccordionId=item-2601184-2-panel" TargetMode="External"/><Relationship Id="rId16" Type="http://schemas.openxmlformats.org/officeDocument/2006/relationships/hyperlink" Target="https://india.diplo.de/in-en/service/-/2633528?openAccordionId=item-2601184-2-panel" TargetMode="External"/><Relationship Id="rId5" Type="http://schemas.openxmlformats.org/officeDocument/2006/relationships/hyperlink" Target="https://aps-india.de/" TargetMode="External"/><Relationship Id="rId19" Type="http://schemas.openxmlformats.org/officeDocument/2006/relationships/drawing" Target="../drawings/drawing4.xml"/><Relationship Id="rId6" Type="http://schemas.openxmlformats.org/officeDocument/2006/relationships/hyperlink" Target="https://aps-india.de/" TargetMode="External"/><Relationship Id="rId18" Type="http://schemas.openxmlformats.org/officeDocument/2006/relationships/hyperlink" Target="https://india.diplo.de/in-en/service/-/1984578" TargetMode="External"/><Relationship Id="rId7" Type="http://schemas.openxmlformats.org/officeDocument/2006/relationships/hyperlink" Target="https://india.diplo.de/in-en/service/-/2633528?openAccordionId=item-2601184-2-panel" TargetMode="External"/><Relationship Id="rId8" Type="http://schemas.openxmlformats.org/officeDocument/2006/relationships/hyperlink" Target="https://india.diplo.de/in-en/service/-/2633528?openAccordionId=item-2601184-2-panel"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bme-master.com/biomedical-engineering.html" TargetMode="External"/><Relationship Id="rId84" Type="http://schemas.openxmlformats.org/officeDocument/2006/relationships/hyperlink" Target="https://www.hs-ansbach.de/en/master/smart-energy-systems/" TargetMode="External"/><Relationship Id="rId83" Type="http://schemas.openxmlformats.org/officeDocument/2006/relationships/hyperlink" Target="https://www.mb.rub.de/studium-mb/en/bachelor-english/spezialisations/" TargetMode="External"/><Relationship Id="rId42" Type="http://schemas.openxmlformats.org/officeDocument/2006/relationships/hyperlink" Target="https://www.uni-heidelberg.de/en/study/all-subjects/biomedical-engineering" TargetMode="External"/><Relationship Id="rId86" Type="http://schemas.openxmlformats.org/officeDocument/2006/relationships/hyperlink" Target="https://www.th-koeln.de/en/academics/renewable-energy-management-masters-program_6990.php" TargetMode="External"/><Relationship Id="rId41" Type="http://schemas.openxmlformats.org/officeDocument/2006/relationships/hyperlink" Target="https://www.nat.tum.de/en/nat/studies/msc/bemp/" TargetMode="External"/><Relationship Id="rId85" Type="http://schemas.openxmlformats.org/officeDocument/2006/relationships/hyperlink" Target="https://www.uni-flensburg.de/eem/" TargetMode="External"/><Relationship Id="rId44" Type="http://schemas.openxmlformats.org/officeDocument/2006/relationships/hyperlink" Target="https://www.elektrotechnik.rwth-aachen.de/cms/Elektrotechnik-und-Informationstechnik/Studium/Master-Studiengaenge/Master-of-Science/ENGLISCHSPRACHIG-Studiengang-Elektrote/Vertiefungsrichtungen-im-Master-ET-IT-/~qhis/Vertiefungsrichtung-Biomedical-Systems-E/?mobile=1&amp;lidx=1" TargetMode="External"/><Relationship Id="rId88" Type="http://schemas.openxmlformats.org/officeDocument/2006/relationships/drawing" Target="../drawings/drawing5.xml"/><Relationship Id="rId43" Type="http://schemas.openxmlformats.org/officeDocument/2006/relationships/hyperlink" Target="https://www.hs-anhalt.de/studieren/orientierung/studienangebot/detail/biomedical-engineering-master-of-science.html" TargetMode="External"/><Relationship Id="rId87" Type="http://schemas.openxmlformats.org/officeDocument/2006/relationships/hyperlink" Target="https://www.b-tu.de/en/powerengineering-ms" TargetMode="External"/><Relationship Id="rId46" Type="http://schemas.openxmlformats.org/officeDocument/2006/relationships/hyperlink" Target="https://www.tu-clausthal.de/en/prospective-students/degree-programs/masters/mining-engineering" TargetMode="External"/><Relationship Id="rId45" Type="http://schemas.openxmlformats.org/officeDocument/2006/relationships/hyperlink" Target="https://tu-freiberg.de/en/master-sustainable-mining-and-remediation-management" TargetMode="External"/><Relationship Id="rId80" Type="http://schemas.openxmlformats.org/officeDocument/2006/relationships/hyperlink" Target="https://www.thi.de/maschinenbau/studiengaenge/renewable-energy-systems-msc/" TargetMode="External"/><Relationship Id="rId82" Type="http://schemas.openxmlformats.org/officeDocument/2006/relationships/hyperlink" Target="https://www.haw-hamburg.de/en/study/degree-courses-a-z/study-courses-in-detail/course/courses/show/renewable-energy-systems-environmental-and-process-engineering/Studieninteressierte/" TargetMode="External"/><Relationship Id="rId81" Type="http://schemas.openxmlformats.org/officeDocument/2006/relationships/hyperlink" Target="https://www.hs-nordhausen.de/en/studies/master/renewable-energy-systems/" TargetMode="External"/><Relationship Id="rId1" Type="http://schemas.openxmlformats.org/officeDocument/2006/relationships/hyperlink" Target="https://tu-freiberg.de/en/master-mechanical-and-process-engineering" TargetMode="External"/><Relationship Id="rId2" Type="http://schemas.openxmlformats.org/officeDocument/2006/relationships/hyperlink" Target="https://www.hochschule-rhein-waal.de/en/faculties/technology-and-bionics/degree-programmes/mechanical-engineering-msc" TargetMode="External"/><Relationship Id="rId3" Type="http://schemas.openxmlformats.org/officeDocument/2006/relationships/hyperlink" Target="https://www.th-rosenheim.de/en/studies-and-further-education/courses-of-study/masters-degree-programmes/masters-degree-programme-in-engineering-sciences" TargetMode="External"/><Relationship Id="rId4" Type="http://schemas.openxmlformats.org/officeDocument/2006/relationships/hyperlink" Target="https://mv.hs-duesseldorf.de/study-programmes/master-mechanical-engineering" TargetMode="External"/><Relationship Id="rId9" Type="http://schemas.openxmlformats.org/officeDocument/2006/relationships/hyperlink" Target="https://www.academy.rwth-aachen.de/en/programs/masters-degree-programs/detail/msc-computer-aided-conception-and-production-in-mechanical-engineering?utm_source=daad&amp;utm_medium=portal&amp;utm_campaign=intake" TargetMode="External"/><Relationship Id="rId48" Type="http://schemas.openxmlformats.org/officeDocument/2006/relationships/hyperlink" Target="https://www.geo.uni-bremen.de/page.php?pageid=1058" TargetMode="External"/><Relationship Id="rId47" Type="http://schemas.openxmlformats.org/officeDocument/2006/relationships/hyperlink" Target="https://mre.rwth-aachen.de/en/education/european-mining-course-emc/?noredirect=en_US" TargetMode="External"/><Relationship Id="rId49" Type="http://schemas.openxmlformats.org/officeDocument/2006/relationships/hyperlink" Target="https://study-geomatics.eu/" TargetMode="External"/><Relationship Id="rId5" Type="http://schemas.openxmlformats.org/officeDocument/2006/relationships/hyperlink" Target="https://www.th-luebeck.de/studium/studienangebot/studiengaenge/mechanical-engineering-msc/uebersicht/" TargetMode="External"/><Relationship Id="rId6" Type="http://schemas.openxmlformats.org/officeDocument/2006/relationships/hyperlink" Target="https://www.hs-kl.de/en/angewandte-ingenieurwissenschaften/studiengaenge/master/mechanical-engineeringmechatronics" TargetMode="External"/><Relationship Id="rId7" Type="http://schemas.openxmlformats.org/officeDocument/2006/relationships/hyperlink" Target="https://www.hs-esslingen.de/en/international/coming-to-esslingen-uas/international-masters-programmes/master-degree-programmes/design-and-development-for-mechanical-and-automotive-engineering-master/" TargetMode="External"/><Relationship Id="rId8" Type="http://schemas.openxmlformats.org/officeDocument/2006/relationships/hyperlink" Target="https://www.tuhh.de/tuhh/en/studying/before-studying/degree-courses/international-study-programs/mechanical-engineering-and-management" TargetMode="External"/><Relationship Id="rId73" Type="http://schemas.openxmlformats.org/officeDocument/2006/relationships/hyperlink" Target="https://www.mb.rub.de/studium-mb/en/master-englisch/master-admission/" TargetMode="External"/><Relationship Id="rId72" Type="http://schemas.openxmlformats.org/officeDocument/2006/relationships/hyperlink" Target="https://www.uni-augsburg.de/de/fakultaet/mntf/physik/studies/mscmatsci/" TargetMode="External"/><Relationship Id="rId31" Type="http://schemas.openxmlformats.org/officeDocument/2006/relationships/hyperlink" Target="https://www.uni-bremen.de/en/fb3/studium-lehre/studienberatung-studienzentrum/studienzentrum-mathematik/bewerbung/application-and-admission" TargetMode="External"/><Relationship Id="rId75" Type="http://schemas.openxmlformats.org/officeDocument/2006/relationships/hyperlink" Target="https://www.hof-university.com/studying-at-hof-university/our-degree-programs/sustainable-textiles-meng.html" TargetMode="External"/><Relationship Id="rId30" Type="http://schemas.openxmlformats.org/officeDocument/2006/relationships/hyperlink" Target="https://studieren.mathematik.tu-dortmund.de/?page_id=329" TargetMode="External"/><Relationship Id="rId74" Type="http://schemas.openxmlformats.org/officeDocument/2006/relationships/hyperlink" Target="https://www.academy.rwth-aachen.de/en/programs/masters-degree-programs/detail/msc-textile-engineering?utm_source=daad&amp;utm_medium=portal&amp;utm_campaign=intake" TargetMode="External"/><Relationship Id="rId33" Type="http://schemas.openxmlformats.org/officeDocument/2006/relationships/hyperlink" Target="https://www.hof-university.com/studying-at-hof-university/software-engineering-for-industrial-applications-meng.html" TargetMode="External"/><Relationship Id="rId77" Type="http://schemas.openxmlformats.org/officeDocument/2006/relationships/hyperlink" Target="https://www.hs-bremerhaven.de/en/study/study-programmes/peet" TargetMode="External"/><Relationship Id="rId32" Type="http://schemas.openxmlformats.org/officeDocument/2006/relationships/hyperlink" Target="https://www.oth-aw.de/en/studies/study-offers/study-programmes/master-degree-programs/artificial-intelligence-for-industrial-applications-mai/program-artificial-intelligence-for-industrial-applications/" TargetMode="External"/><Relationship Id="rId76" Type="http://schemas.openxmlformats.org/officeDocument/2006/relationships/hyperlink" Target="https://www.hs-niederrhein.de/faculties/textile-and-clothing-technology/prospective-students/master-management-of-textile-trade-and-technology/" TargetMode="External"/><Relationship Id="rId35" Type="http://schemas.openxmlformats.org/officeDocument/2006/relationships/hyperlink" Target="https://mb.tu-dortmund.de/studium/studiengaenge/msc-manufacturing-technology/" TargetMode="External"/><Relationship Id="rId79" Type="http://schemas.openxmlformats.org/officeDocument/2006/relationships/hyperlink" Target="https://www.cep.study.fau.eu/master-m-sc-clean-energy-processes/" TargetMode="External"/><Relationship Id="rId34" Type="http://schemas.openxmlformats.org/officeDocument/2006/relationships/hyperlink" Target="https://www.tu-chemnitz.de/mb/am/studiengang/" TargetMode="External"/><Relationship Id="rId78" Type="http://schemas.openxmlformats.org/officeDocument/2006/relationships/hyperlink" Target="https://www.oth-aw.de/en/study-programmes-and-educational-opportunities/study-programmes/master-degree-programs/international-energy-engineering/program-international-energy-engineering/" TargetMode="External"/><Relationship Id="rId71" Type="http://schemas.openxmlformats.org/officeDocument/2006/relationships/hyperlink" Target="https://www.3dmattermadetoorder.kit.edu/msc_program.php" TargetMode="External"/><Relationship Id="rId70" Type="http://schemas.openxmlformats.org/officeDocument/2006/relationships/hyperlink" Target="https://materials.study.fau.eu/" TargetMode="External"/><Relationship Id="rId37" Type="http://schemas.openxmlformats.org/officeDocument/2006/relationships/hyperlink" Target="https://www.ovgu.de/unimagdeburg/en/Study/Study+Programmes/Study+Programmes+in+English/Systems+Engineering+for+Manufacturing-p-54344.html" TargetMode="External"/><Relationship Id="rId36" Type="http://schemas.openxmlformats.org/officeDocument/2006/relationships/hyperlink" Target="https://www.academy.rwth-aachen.de/en/programs/masters-degree-programs/detail/msc-smart-production-engineering?utm_source=daad&amp;utm_medium=portal&amp;utm_campaign=intake" TargetMode="External"/><Relationship Id="rId39" Type="http://schemas.openxmlformats.org/officeDocument/2006/relationships/hyperlink" Target="https://www.haw-hamburg.de/en/study/degree-courses-a-z/study-courses-in-detail/course/courses/show/biomedical-engineering/Studieninteressierte/" TargetMode="External"/><Relationship Id="rId38" Type="http://schemas.openxmlformats.org/officeDocument/2006/relationships/hyperlink" Target="https://www.rwth-aachen.de/cms/root/studium/Vor-dem-Studium/Studiengaenge/Liste-Aktuelle-Studiengaenge/Studiengangbeschreibung/~bokx/Biomedical-Engineering-M-Sc/?lidx=1&amp;mobile=1" TargetMode="External"/><Relationship Id="rId62" Type="http://schemas.openxmlformats.org/officeDocument/2006/relationships/hyperlink" Target="https://www.tf.uni-kiel.de/matwis/kielmat/en" TargetMode="External"/><Relationship Id="rId61" Type="http://schemas.openxmlformats.org/officeDocument/2006/relationships/hyperlink" Target="https://uol.de/studiengang/engineering-physics-master-2" TargetMode="External"/><Relationship Id="rId20" Type="http://schemas.openxmlformats.org/officeDocument/2006/relationships/hyperlink" Target="https://www.mechatronics.eti.uni-siegen.de/" TargetMode="External"/><Relationship Id="rId64" Type="http://schemas.openxmlformats.org/officeDocument/2006/relationships/hyperlink" Target="https://www.tu-ilmenau.de/en/study/before-the-study/range-of-courses/master/micro-and-nanotechnologies-msc" TargetMode="External"/><Relationship Id="rId63" Type="http://schemas.openxmlformats.org/officeDocument/2006/relationships/hyperlink" Target="https://www.tum.de/en/studies/degree-programs/detail/materials-science-and-engineering-master-of-science-msc" TargetMode="External"/><Relationship Id="rId22" Type="http://schemas.openxmlformats.org/officeDocument/2006/relationships/hyperlink" Target="https://www.hs-schmalkalden.de/en/studying/programmes/master-degree-courses/mechatronics-and-robotics" TargetMode="External"/><Relationship Id="rId66" Type="http://schemas.openxmlformats.org/officeDocument/2006/relationships/hyperlink" Target="https://www.at.study.fau.eu/" TargetMode="External"/><Relationship Id="rId21" Type="http://schemas.openxmlformats.org/officeDocument/2006/relationships/hyperlink" Target="https://www.fh-aachen.de/en/studies/degree-programmes/mechatronics-msc" TargetMode="External"/><Relationship Id="rId65" Type="http://schemas.openxmlformats.org/officeDocument/2006/relationships/hyperlink" Target="https://www.eah-jena.de/scitec/international/masters-degree-programme-scientific-instrumentation-msc" TargetMode="External"/><Relationship Id="rId24" Type="http://schemas.openxmlformats.org/officeDocument/2006/relationships/hyperlink" Target="https://www.hs-emden-leer.de/en/current-students/faculties/technology/study-programs/industrial-informatics-master" TargetMode="External"/><Relationship Id="rId68" Type="http://schemas.openxmlformats.org/officeDocument/2006/relationships/hyperlink" Target="https://www.tfmasa.eu/" TargetMode="External"/><Relationship Id="rId23" Type="http://schemas.openxmlformats.org/officeDocument/2006/relationships/hyperlink" Target="https://th-deg.de/mcs-cham-m-en" TargetMode="External"/><Relationship Id="rId67" Type="http://schemas.openxmlformats.org/officeDocument/2006/relationships/hyperlink" Target="https://www.th-rosenheim.de/en/studies-and-further-education/courses-of-study/masters-degree-programmes/masters-degree-programme-in-engineering-sciences?mtm_campaign=DAAD%20International%20Programmes&amp;mtm_kwd=M-ING" TargetMode="External"/><Relationship Id="rId60" Type="http://schemas.openxmlformats.org/officeDocument/2006/relationships/hyperlink" Target="https://chemie.uni-paderborn.de/studium/master-of-science/materialwissenschaften" TargetMode="External"/><Relationship Id="rId26" Type="http://schemas.openxmlformats.org/officeDocument/2006/relationships/hyperlink" Target="https://www.kiel-mie.de/study-program" TargetMode="External"/><Relationship Id="rId25" Type="http://schemas.openxmlformats.org/officeDocument/2006/relationships/hyperlink" Target="https://www.tha.de/en/Electrical-Engineering/Industrial-Safety-and-Security-MSc.html" TargetMode="External"/><Relationship Id="rId69" Type="http://schemas.openxmlformats.org/officeDocument/2006/relationships/hyperlink" Target="https://www.tum.de/en/studies/degree-programs/detail/computational-mechanics-master-of-science-msc" TargetMode="External"/><Relationship Id="rId28" Type="http://schemas.openxmlformats.org/officeDocument/2006/relationships/hyperlink" Target="https://www.hswt.de/studium/studienangebot/master/international-management-of-forest-industries" TargetMode="External"/><Relationship Id="rId27" Type="http://schemas.openxmlformats.org/officeDocument/2006/relationships/hyperlink" Target="https://www.th-rosenheim.de/en/studies-and-further-education/courses-of-study/masters-degree-programmes/advanced-industrial-engineering?mtm_campaign=DAAD%20International%20Programmes&amp;mtm_kwd=m-aie" TargetMode="External"/><Relationship Id="rId29" Type="http://schemas.openxmlformats.org/officeDocument/2006/relationships/hyperlink" Target="https://www.pharmazie.hhu.de/studium/master-of-science-industrial-pharmacy" TargetMode="External"/><Relationship Id="rId51" Type="http://schemas.openxmlformats.org/officeDocument/2006/relationships/hyperlink" Target="https://www.map.tf.fau.de/" TargetMode="External"/><Relationship Id="rId50" Type="http://schemas.openxmlformats.org/officeDocument/2006/relationships/hyperlink" Target="https://tu-freiberg.de/en/master-advanced-mineral-resources-development" TargetMode="External"/><Relationship Id="rId53" Type="http://schemas.openxmlformats.org/officeDocument/2006/relationships/hyperlink" Target="https://www.fgeo.rwth-aachen.de/cms/geowissenschaften-und-geographie/Studium/Studiengaenge/Master-courses-of-study/Angewandte-Geowissenschaften/~cajo/Kurzprofil-des-Studiengangs/lidx/1/?mobile=1" TargetMode="External"/><Relationship Id="rId52" Type="http://schemas.openxmlformats.org/officeDocument/2006/relationships/hyperlink" Target="https://www.rohstoffe.rwth-aachen.de/cms/rohstoffe-und-entsorgungstechnik/Die-Fachgruppe/Meldungen/~qhpf/Ausschreibung-fuer-eine-Bachelorarbeit/?lidx=1&amp;mobile=1" TargetMode="External"/><Relationship Id="rId11" Type="http://schemas.openxmlformats.org/officeDocument/2006/relationships/hyperlink" Target="https://www.bime.ovgu.de/Prospective+students.html" TargetMode="External"/><Relationship Id="rId55" Type="http://schemas.openxmlformats.org/officeDocument/2006/relationships/hyperlink" Target="https://tu-freiberg.de/en/master-advanced-materials-analysis" TargetMode="External"/><Relationship Id="rId10" Type="http://schemas.openxmlformats.org/officeDocument/2006/relationships/hyperlink" Target="https://www.uni-due.de/iw/en/study/m-me.php" TargetMode="External"/><Relationship Id="rId54" Type="http://schemas.openxmlformats.org/officeDocument/2006/relationships/hyperlink" Target="https://tu-freiberg.de/en/master-metallic-materials-technology" TargetMode="External"/><Relationship Id="rId13" Type="http://schemas.openxmlformats.org/officeDocument/2006/relationships/hyperlink" Target="https://www.ika.rwth-aachen.de/en/studies/study-programs/automotive-engineering-msc.html" TargetMode="External"/><Relationship Id="rId57" Type="http://schemas.openxmlformats.org/officeDocument/2006/relationships/hyperlink" Target="https://tu-freiberg.de/en/master-computational-materials-science" TargetMode="External"/><Relationship Id="rId12" Type="http://schemas.openxmlformats.org/officeDocument/2006/relationships/hyperlink" Target="https://www.hs-esslingen.de/en/international/coming-to-esslingen-uas/international-masters-programmes/master-degree-programmes/automotive-systems-master/" TargetMode="External"/><Relationship Id="rId56" Type="http://schemas.openxmlformats.org/officeDocument/2006/relationships/hyperlink" Target="https://tu-freiberg.de/en/master-technology-and-application-inorganic-engineering-materials" TargetMode="External"/><Relationship Id="rId90" Type="http://schemas.openxmlformats.org/officeDocument/2006/relationships/table" Target="../tables/table1.xml"/><Relationship Id="rId15" Type="http://schemas.openxmlformats.org/officeDocument/2006/relationships/hyperlink" Target="https://www.thi.de/en/mechanical-engineering/degree-programmes/automotive-production-engineering-meng/" TargetMode="External"/><Relationship Id="rId59" Type="http://schemas.openxmlformats.org/officeDocument/2006/relationships/hyperlink" Target="https://en.fh-muenster.de/materials-science/index.php" TargetMode="External"/><Relationship Id="rId14" Type="http://schemas.openxmlformats.org/officeDocument/2006/relationships/hyperlink" Target="https://www.tu-chemnitz.de/informatik/studium/studiengaenge/index.php.en?page=ma_ase" TargetMode="External"/><Relationship Id="rId58" Type="http://schemas.openxmlformats.org/officeDocument/2006/relationships/hyperlink" Target="https://www.th-owl.de/en/design/studies/degree-programs/detail/master-of-integrated-design/" TargetMode="External"/><Relationship Id="rId17" Type="http://schemas.openxmlformats.org/officeDocument/2006/relationships/hyperlink" Target="https://www.fh-aachen.de/en/studies/degree-programmes/international-automotive-engineering-msc" TargetMode="External"/><Relationship Id="rId16" Type="http://schemas.openxmlformats.org/officeDocument/2006/relationships/hyperlink" Target="https://www.thi.de/elektro-und-informationstechnik/studiengaenge/international-automotive-engineering-meng/" TargetMode="External"/><Relationship Id="rId19" Type="http://schemas.openxmlformats.org/officeDocument/2006/relationships/hyperlink" Target="https://www.tuhh.de/tuhh/en/studying/before-studying/degree-courses/international-study-programs/mechatronics" TargetMode="External"/><Relationship Id="rId18" Type="http://schemas.openxmlformats.org/officeDocument/2006/relationships/hyperlink" Target="https://www.rwu.de/en/study/courses/mechatronics-en" TargetMode="External"/></Relationships>
</file>

<file path=xl/worksheets/_rels/sheet6.xml.rels><?xml version="1.0" encoding="UTF-8" standalone="yes"?><Relationships xmlns="http://schemas.openxmlformats.org/package/2006/relationships"><Relationship Id="rId40" Type="http://schemas.openxmlformats.org/officeDocument/2006/relationships/drawing" Target="../drawings/drawing6.xml"/><Relationship Id="rId1" Type="http://schemas.openxmlformats.org/officeDocument/2006/relationships/hyperlink" Target="https://www2.daad.de/deutschland/studienangebote/international-programmes/en/" TargetMode="External"/><Relationship Id="rId2" Type="http://schemas.openxmlformats.org/officeDocument/2006/relationships/hyperlink" Target="https://www.uni-hannover.de/en/studium/vor-dem-studium/bewerbung-zulassung/studienplatzbewerbung/" TargetMode="External"/><Relationship Id="rId3" Type="http://schemas.openxmlformats.org/officeDocument/2006/relationships/hyperlink" Target="http://go.lu-h.de/study-costs" TargetMode="External"/><Relationship Id="rId4" Type="http://schemas.openxmlformats.org/officeDocument/2006/relationships/hyperlink" Target="https://www.daad.de/en/studying-in-germany/living-in-germany/finances/" TargetMode="External"/><Relationship Id="rId9" Type="http://schemas.openxmlformats.org/officeDocument/2006/relationships/hyperlink" Target="https://www.uni-hannover.de/fileadmin/Studienberatung/Neu_ab_Relaunch/02_Studium_Vor_dem_Studium/02_Bewerbung_und_Zulassung/02_Studienplatzbewerbung/Walkthrough_Master_EN.pdf" TargetMode="External"/><Relationship Id="rId5" Type="http://schemas.openxmlformats.org/officeDocument/2006/relationships/hyperlink" Target="https://www2.daad.de/deutschland/studienangebote/international-programmes/en/detail/10548/" TargetMode="External"/><Relationship Id="rId6" Type="http://schemas.openxmlformats.org/officeDocument/2006/relationships/hyperlink" Target="https://www.uni-hannover.de/fileadmin/Studienberatung/Neu_ab_Relaunch/02_Studium_Vor_dem_Studium/02_Bewerbung_und_Zulassung/02_Studienplatzbewerbung/Walkthrough_Master_EN.pdf" TargetMode="External"/><Relationship Id="rId7" Type="http://schemas.openxmlformats.org/officeDocument/2006/relationships/hyperlink" Target="https://www.hs-rm.de/en/international/from-abroad/international-students/studium/english-masters-programs" TargetMode="External"/><Relationship Id="rId8" Type="http://schemas.openxmlformats.org/officeDocument/2006/relationships/hyperlink" Target="https://www2.daad.de/deutschland/studienangebote/international-programmes/en/detail/10568/" TargetMode="External"/><Relationship Id="rId31" Type="http://schemas.openxmlformats.org/officeDocument/2006/relationships/hyperlink" Target="https://www2.daad.de/deutschland/studienangebote/international-programmes/en/detail/4513/" TargetMode="External"/><Relationship Id="rId30" Type="http://schemas.openxmlformats.org/officeDocument/2006/relationships/hyperlink" Target="https://www.fh-dortmund.de/ese" TargetMode="External"/><Relationship Id="rId33" Type="http://schemas.openxmlformats.org/officeDocument/2006/relationships/hyperlink" Target="https://www2.daad.de/deutschland/studienangebote/international-programmes/en/detail/7028/" TargetMode="External"/><Relationship Id="rId32" Type="http://schemas.openxmlformats.org/officeDocument/2006/relationships/hyperlink" Target="https://campus.tu-freiberg.de/qisserver/pages/cs/sys/portal/hisinoneStartPage.faces" TargetMode="External"/><Relationship Id="rId35" Type="http://schemas.openxmlformats.org/officeDocument/2006/relationships/hyperlink" Target="https://www2.daad.de/deutschland/studienangebote/international-programmes/en/detail/4352/" TargetMode="External"/><Relationship Id="rId34" Type="http://schemas.openxmlformats.org/officeDocument/2006/relationships/hyperlink" Target="https://www.th-luebeck.de/en/studies/application/step-by-step/" TargetMode="External"/><Relationship Id="rId37" Type="http://schemas.openxmlformats.org/officeDocument/2006/relationships/hyperlink" Target="https://www2.daad.de/deutschland/studienangebote/international-programmes/en/detail/3961/" TargetMode="External"/><Relationship Id="rId36" Type="http://schemas.openxmlformats.org/officeDocument/2006/relationships/hyperlink" Target="http://www.th-koeln.de/howtoapply" TargetMode="External"/><Relationship Id="rId39" Type="http://schemas.openxmlformats.org/officeDocument/2006/relationships/hyperlink" Target="https://www2.daad.de/deutschland/studienangebote/international-programmes/en/detail/7612/" TargetMode="External"/><Relationship Id="rId38" Type="http://schemas.openxmlformats.org/officeDocument/2006/relationships/hyperlink" Target="http://www.eduapplication.de/" TargetMode="External"/><Relationship Id="rId20" Type="http://schemas.openxmlformats.org/officeDocument/2006/relationships/hyperlink" Target="http://www.rwth-aachen.de/go/id/bqmo/lidx/1." TargetMode="External"/><Relationship Id="rId22" Type="http://schemas.openxmlformats.org/officeDocument/2006/relationships/hyperlink" Target="https://www.th-deg.de/en/apply" TargetMode="External"/><Relationship Id="rId21" Type="http://schemas.openxmlformats.org/officeDocument/2006/relationships/hyperlink" Target="https://www2.daad.de/deutschland/studienangebote/international-programmes/en/detail/4599/" TargetMode="External"/><Relationship Id="rId24" Type="http://schemas.openxmlformats.org/officeDocument/2006/relationships/hyperlink" Target="https://www.tu-darmstadt.de/studieren/studieninteressierte/bewerbung_zulassung_tu/online_bewerbung/index.en.jsp" TargetMode="External"/><Relationship Id="rId23" Type="http://schemas.openxmlformats.org/officeDocument/2006/relationships/hyperlink" Target="https://www2.daad.de/deutschland/studienangebote/international-programmes/en/detail/5378/" TargetMode="External"/><Relationship Id="rId26" Type="http://schemas.openxmlformats.org/officeDocument/2006/relationships/hyperlink" Target="https://www.uni-assist.de/en/" TargetMode="External"/><Relationship Id="rId25" Type="http://schemas.openxmlformats.org/officeDocument/2006/relationships/hyperlink" Target="https://www2.daad.de/deutschland/studienangebote/international-programmes/en/detail/7775/" TargetMode="External"/><Relationship Id="rId28" Type="http://schemas.openxmlformats.org/officeDocument/2006/relationships/hyperlink" Target="https://mb.tu-dortmund.de/studium/studiengaenge/msc-manufacturing-technology/application/" TargetMode="External"/><Relationship Id="rId27" Type="http://schemas.openxmlformats.org/officeDocument/2006/relationships/hyperlink" Target="https://www2.daad.de/deutschland/studienangebote/international-programmes/en/detail/9255/" TargetMode="External"/><Relationship Id="rId29" Type="http://schemas.openxmlformats.org/officeDocument/2006/relationships/hyperlink" Target="https://www2.daad.de/deutschland/studienangebote/international-programmes/en/detail/4300/" TargetMode="External"/><Relationship Id="rId11" Type="http://schemas.openxmlformats.org/officeDocument/2006/relationships/hyperlink" Target="https://www2.daad.de/deutschland/studienangebote/international-programmes/en/detail/4818/" TargetMode="External"/><Relationship Id="rId10" Type="http://schemas.openxmlformats.org/officeDocument/2006/relationships/hyperlink" Target="https://eit.rptu.de/en/studies/master-in-english" TargetMode="External"/><Relationship Id="rId13" Type="http://schemas.openxmlformats.org/officeDocument/2006/relationships/hyperlink" Target="http://www.master-ait.de/content/index_eng.html" TargetMode="External"/><Relationship Id="rId12" Type="http://schemas.openxmlformats.org/officeDocument/2006/relationships/hyperlink" Target="http://www.master-ait.de/content/index_eng.html" TargetMode="External"/><Relationship Id="rId15" Type="http://schemas.openxmlformats.org/officeDocument/2006/relationships/hyperlink" Target="https://www.th-deg.de/en/apply" TargetMode="External"/><Relationship Id="rId14" Type="http://schemas.openxmlformats.org/officeDocument/2006/relationships/hyperlink" Target="https://www2.daad.de/deutschland/studienangebote/international-programmes/en/detail/3961/" TargetMode="External"/><Relationship Id="rId17" Type="http://schemas.openxmlformats.org/officeDocument/2006/relationships/hyperlink" Target="http://www.automationrobotics.tu-dortmund.de/" TargetMode="External"/><Relationship Id="rId16" Type="http://schemas.openxmlformats.org/officeDocument/2006/relationships/hyperlink" Target="https://www2.daad.de/deutschland/studienangebote/international-programmes/en/detail/9838/" TargetMode="External"/><Relationship Id="rId19" Type="http://schemas.openxmlformats.org/officeDocument/2006/relationships/hyperlink" Target="https://online.rwth-aachen.de/" TargetMode="External"/><Relationship Id="rId18" Type="http://schemas.openxmlformats.org/officeDocument/2006/relationships/hyperlink" Target="https://www2.daad.de/deutschland/studienangebote/international-programmes/en/detail/8996/"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rackon.in/courier-track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13"/>
    <col customWidth="1" min="5" max="5" width="16.5"/>
    <col customWidth="1" min="6" max="6" width="62.13"/>
  </cols>
  <sheetData>
    <row r="1">
      <c r="A1" s="1" t="s">
        <v>0</v>
      </c>
      <c r="B1" s="2"/>
      <c r="C1" s="3"/>
      <c r="D1" s="4"/>
      <c r="E1" s="1" t="s">
        <v>1</v>
      </c>
      <c r="F1" s="2"/>
      <c r="G1" s="3"/>
      <c r="H1" s="4"/>
      <c r="I1" s="4"/>
      <c r="J1" s="4"/>
      <c r="K1" s="4"/>
      <c r="L1" s="4"/>
      <c r="M1" s="4"/>
      <c r="N1" s="4"/>
      <c r="O1" s="4"/>
      <c r="P1" s="4"/>
      <c r="Q1" s="4"/>
      <c r="R1" s="4"/>
      <c r="S1" s="4"/>
      <c r="T1" s="4"/>
      <c r="U1" s="4"/>
      <c r="V1" s="4"/>
      <c r="W1" s="4"/>
      <c r="X1" s="4"/>
      <c r="Y1" s="4"/>
      <c r="Z1" s="4"/>
    </row>
    <row r="2">
      <c r="A2" s="5" t="s">
        <v>2</v>
      </c>
      <c r="B2" s="5" t="s">
        <v>3</v>
      </c>
      <c r="C2" s="5" t="s">
        <v>4</v>
      </c>
      <c r="D2" s="4"/>
      <c r="E2" s="5" t="s">
        <v>2</v>
      </c>
      <c r="F2" s="5" t="s">
        <v>3</v>
      </c>
      <c r="G2" s="5" t="s">
        <v>4</v>
      </c>
      <c r="H2" s="4"/>
      <c r="I2" s="4"/>
      <c r="J2" s="4"/>
      <c r="K2" s="4"/>
      <c r="L2" s="4"/>
      <c r="M2" s="4"/>
      <c r="N2" s="4"/>
      <c r="O2" s="4"/>
      <c r="P2" s="4"/>
      <c r="Q2" s="4"/>
      <c r="R2" s="4"/>
      <c r="S2" s="4"/>
      <c r="T2" s="4"/>
      <c r="U2" s="4"/>
      <c r="V2" s="4"/>
      <c r="W2" s="4"/>
      <c r="X2" s="4"/>
      <c r="Y2" s="4"/>
      <c r="Z2" s="4"/>
    </row>
    <row r="3">
      <c r="A3" s="6">
        <v>1.0</v>
      </c>
      <c r="B3" s="7" t="s">
        <v>5</v>
      </c>
      <c r="C3" s="8" t="s">
        <v>4</v>
      </c>
      <c r="D3" s="4"/>
      <c r="E3" s="6">
        <v>1.0</v>
      </c>
      <c r="F3" s="7" t="s">
        <v>5</v>
      </c>
      <c r="G3" s="8" t="s">
        <v>4</v>
      </c>
      <c r="H3" s="4"/>
      <c r="I3" s="4"/>
      <c r="J3" s="4"/>
      <c r="K3" s="4"/>
      <c r="L3" s="4"/>
      <c r="M3" s="4"/>
      <c r="N3" s="4"/>
      <c r="O3" s="4"/>
      <c r="P3" s="4"/>
      <c r="Q3" s="4"/>
      <c r="R3" s="4"/>
      <c r="S3" s="4"/>
      <c r="T3" s="4"/>
      <c r="U3" s="4"/>
      <c r="V3" s="4"/>
      <c r="W3" s="4"/>
      <c r="X3" s="4"/>
      <c r="Y3" s="4"/>
      <c r="Z3" s="4"/>
    </row>
    <row r="4">
      <c r="A4" s="6">
        <v>2.0</v>
      </c>
      <c r="B4" s="6" t="s">
        <v>6</v>
      </c>
      <c r="C4" s="8" t="s">
        <v>4</v>
      </c>
      <c r="D4" s="4"/>
      <c r="E4" s="6">
        <v>2.0</v>
      </c>
      <c r="F4" s="6" t="s">
        <v>6</v>
      </c>
      <c r="G4" s="8" t="s">
        <v>4</v>
      </c>
      <c r="H4" s="4"/>
      <c r="I4" s="4"/>
      <c r="J4" s="4"/>
      <c r="K4" s="4"/>
      <c r="L4" s="4"/>
      <c r="M4" s="4"/>
      <c r="N4" s="4"/>
      <c r="O4" s="4"/>
      <c r="P4" s="4"/>
      <c r="Q4" s="4"/>
      <c r="R4" s="4"/>
      <c r="S4" s="4"/>
      <c r="T4" s="4"/>
      <c r="U4" s="4"/>
      <c r="V4" s="4"/>
      <c r="W4" s="4"/>
      <c r="X4" s="4"/>
      <c r="Y4" s="4"/>
      <c r="Z4" s="4"/>
    </row>
    <row r="5">
      <c r="A5" s="6">
        <v>3.0</v>
      </c>
      <c r="B5" s="6" t="s">
        <v>7</v>
      </c>
      <c r="C5" s="8" t="s">
        <v>4</v>
      </c>
      <c r="D5" s="4"/>
      <c r="E5" s="6">
        <v>3.0</v>
      </c>
      <c r="F5" s="6" t="s">
        <v>7</v>
      </c>
      <c r="G5" s="8" t="s">
        <v>4</v>
      </c>
      <c r="H5" s="4"/>
      <c r="I5" s="4"/>
      <c r="J5" s="4"/>
      <c r="K5" s="4"/>
      <c r="L5" s="4"/>
      <c r="M5" s="4"/>
      <c r="N5" s="4"/>
      <c r="O5" s="4"/>
      <c r="P5" s="4"/>
      <c r="Q5" s="4"/>
      <c r="R5" s="4"/>
      <c r="S5" s="4"/>
      <c r="T5" s="4"/>
      <c r="U5" s="4"/>
      <c r="V5" s="4"/>
      <c r="W5" s="4"/>
      <c r="X5" s="4"/>
      <c r="Y5" s="4"/>
      <c r="Z5" s="4"/>
    </row>
    <row r="6">
      <c r="A6" s="6">
        <v>4.0</v>
      </c>
      <c r="B6" s="6" t="s">
        <v>8</v>
      </c>
      <c r="C6" s="8" t="s">
        <v>4</v>
      </c>
      <c r="D6" s="4"/>
      <c r="E6" s="6">
        <v>4.0</v>
      </c>
      <c r="F6" s="6" t="s">
        <v>8</v>
      </c>
      <c r="G6" s="8" t="s">
        <v>4</v>
      </c>
      <c r="H6" s="4"/>
      <c r="I6" s="4"/>
      <c r="J6" s="4"/>
      <c r="K6" s="4"/>
      <c r="L6" s="4"/>
      <c r="M6" s="4"/>
      <c r="N6" s="4"/>
      <c r="O6" s="4"/>
      <c r="P6" s="4"/>
      <c r="Q6" s="4"/>
      <c r="R6" s="4"/>
      <c r="S6" s="4"/>
      <c r="T6" s="4"/>
      <c r="U6" s="4"/>
      <c r="V6" s="4"/>
      <c r="W6" s="4"/>
      <c r="X6" s="4"/>
      <c r="Y6" s="4"/>
      <c r="Z6" s="4"/>
    </row>
    <row r="7">
      <c r="A7" s="6">
        <v>5.0</v>
      </c>
      <c r="B7" s="6" t="s">
        <v>9</v>
      </c>
      <c r="C7" s="8" t="s">
        <v>4</v>
      </c>
      <c r="D7" s="4"/>
      <c r="E7" s="6">
        <v>5.0</v>
      </c>
      <c r="F7" s="6" t="s">
        <v>9</v>
      </c>
      <c r="G7" s="8" t="s">
        <v>4</v>
      </c>
      <c r="H7" s="4"/>
      <c r="I7" s="4"/>
      <c r="J7" s="4"/>
      <c r="K7" s="4"/>
      <c r="L7" s="4"/>
      <c r="M7" s="4"/>
      <c r="N7" s="4"/>
      <c r="O7" s="4"/>
      <c r="P7" s="4"/>
      <c r="Q7" s="4"/>
      <c r="R7" s="4"/>
      <c r="S7" s="4"/>
      <c r="T7" s="4"/>
      <c r="U7" s="4"/>
      <c r="V7" s="4"/>
      <c r="W7" s="4"/>
      <c r="X7" s="4"/>
      <c r="Y7" s="4"/>
      <c r="Z7" s="4"/>
    </row>
    <row r="8">
      <c r="A8" s="6">
        <v>6.0</v>
      </c>
      <c r="B8" s="6" t="s">
        <v>10</v>
      </c>
      <c r="C8" s="8" t="s">
        <v>4</v>
      </c>
      <c r="D8" s="4"/>
      <c r="E8" s="6">
        <v>6.0</v>
      </c>
      <c r="F8" s="6" t="s">
        <v>10</v>
      </c>
      <c r="G8" s="8" t="s">
        <v>4</v>
      </c>
      <c r="H8" s="4"/>
      <c r="I8" s="4"/>
      <c r="J8" s="4"/>
      <c r="K8" s="4"/>
      <c r="L8" s="4"/>
      <c r="M8" s="4"/>
      <c r="N8" s="4"/>
      <c r="O8" s="4"/>
      <c r="P8" s="4"/>
      <c r="Q8" s="4"/>
      <c r="R8" s="4"/>
      <c r="S8" s="4"/>
      <c r="T8" s="4"/>
      <c r="U8" s="4"/>
      <c r="V8" s="4"/>
      <c r="W8" s="4"/>
      <c r="X8" s="4"/>
      <c r="Y8" s="4"/>
      <c r="Z8" s="4"/>
    </row>
    <row r="9">
      <c r="A9" s="6">
        <v>7.0</v>
      </c>
      <c r="B9" s="7" t="s">
        <v>11</v>
      </c>
      <c r="C9" s="8" t="s">
        <v>4</v>
      </c>
      <c r="D9" s="4"/>
      <c r="E9" s="6">
        <v>7.0</v>
      </c>
      <c r="F9" s="7" t="s">
        <v>11</v>
      </c>
      <c r="G9" s="8" t="s">
        <v>4</v>
      </c>
      <c r="H9" s="4"/>
      <c r="I9" s="4"/>
      <c r="J9" s="4"/>
      <c r="K9" s="4"/>
      <c r="L9" s="4"/>
      <c r="M9" s="4"/>
      <c r="N9" s="4"/>
      <c r="O9" s="4"/>
      <c r="P9" s="4"/>
      <c r="Q9" s="4"/>
      <c r="R9" s="4"/>
      <c r="S9" s="4"/>
      <c r="T9" s="4"/>
      <c r="U9" s="4"/>
      <c r="V9" s="4"/>
      <c r="W9" s="4"/>
      <c r="X9" s="4"/>
      <c r="Y9" s="4"/>
      <c r="Z9" s="4"/>
    </row>
    <row r="10">
      <c r="A10" s="6">
        <v>8.0</v>
      </c>
      <c r="B10" s="6" t="s">
        <v>12</v>
      </c>
      <c r="C10" s="8" t="s">
        <v>13</v>
      </c>
      <c r="D10" s="4"/>
      <c r="E10" s="6">
        <v>8.0</v>
      </c>
      <c r="F10" s="6" t="s">
        <v>12</v>
      </c>
      <c r="G10" s="8" t="s">
        <v>13</v>
      </c>
      <c r="H10" s="4"/>
      <c r="I10" s="4"/>
      <c r="J10" s="4"/>
      <c r="K10" s="4"/>
      <c r="L10" s="4"/>
      <c r="M10" s="4"/>
      <c r="N10" s="4"/>
      <c r="O10" s="4"/>
      <c r="P10" s="4"/>
      <c r="Q10" s="4"/>
      <c r="R10" s="4"/>
      <c r="S10" s="4"/>
      <c r="T10" s="4"/>
      <c r="U10" s="4"/>
      <c r="V10" s="4"/>
      <c r="W10" s="4"/>
      <c r="X10" s="4"/>
      <c r="Y10" s="4"/>
      <c r="Z10" s="4"/>
    </row>
    <row r="11">
      <c r="A11" s="6">
        <v>9.0</v>
      </c>
      <c r="B11" s="6" t="s">
        <v>14</v>
      </c>
      <c r="C11" s="8" t="s">
        <v>4</v>
      </c>
      <c r="D11" s="4"/>
      <c r="E11" s="6">
        <v>9.0</v>
      </c>
      <c r="F11" s="6" t="s">
        <v>14</v>
      </c>
      <c r="G11" s="8" t="s">
        <v>4</v>
      </c>
      <c r="H11" s="4"/>
      <c r="I11" s="4"/>
      <c r="J11" s="4"/>
      <c r="K11" s="4"/>
      <c r="L11" s="4"/>
      <c r="M11" s="4"/>
      <c r="N11" s="4"/>
      <c r="O11" s="4"/>
      <c r="P11" s="4"/>
      <c r="Q11" s="4"/>
      <c r="R11" s="4"/>
      <c r="S11" s="4"/>
      <c r="T11" s="4"/>
      <c r="U11" s="4"/>
      <c r="V11" s="4"/>
      <c r="W11" s="4"/>
      <c r="X11" s="4"/>
      <c r="Y11" s="4"/>
      <c r="Z11" s="4"/>
    </row>
    <row r="12">
      <c r="A12" s="9" t="s">
        <v>15</v>
      </c>
      <c r="B12" s="2"/>
      <c r="C12" s="3"/>
      <c r="D12" s="4"/>
      <c r="E12" s="9" t="s">
        <v>15</v>
      </c>
      <c r="F12" s="2"/>
      <c r="G12" s="3"/>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C14" s="10"/>
      <c r="D14" s="4"/>
      <c r="E14" s="4"/>
      <c r="F14" s="4"/>
      <c r="G14" s="4"/>
      <c r="H14" s="4"/>
      <c r="I14" s="4"/>
      <c r="J14" s="4"/>
      <c r="K14" s="4"/>
      <c r="L14" s="4"/>
      <c r="M14" s="4"/>
      <c r="N14" s="4"/>
      <c r="O14" s="4"/>
      <c r="P14" s="4"/>
      <c r="Q14" s="4"/>
      <c r="R14" s="4"/>
      <c r="S14" s="4"/>
      <c r="T14" s="4"/>
      <c r="U14" s="4"/>
      <c r="V14" s="4"/>
      <c r="W14" s="4"/>
      <c r="X14" s="4"/>
      <c r="Y14" s="4"/>
      <c r="Z14" s="4"/>
    </row>
    <row r="15">
      <c r="C15" s="4"/>
      <c r="D15" s="4"/>
      <c r="E15" s="4"/>
      <c r="F15" s="4"/>
      <c r="G15" s="4"/>
      <c r="H15" s="4"/>
      <c r="I15" s="4"/>
      <c r="J15" s="4"/>
      <c r="K15" s="4"/>
      <c r="L15" s="4"/>
      <c r="M15" s="4"/>
      <c r="N15" s="4"/>
      <c r="O15" s="4"/>
      <c r="P15" s="4"/>
      <c r="Q15" s="4"/>
      <c r="R15" s="4"/>
      <c r="S15" s="4"/>
      <c r="T15" s="4"/>
      <c r="U15" s="4"/>
      <c r="V15" s="4"/>
      <c r="W15" s="4"/>
      <c r="X15" s="4"/>
      <c r="Y15" s="4"/>
      <c r="Z15" s="4"/>
    </row>
    <row r="16">
      <c r="C16" s="4"/>
      <c r="D16" s="4"/>
      <c r="E16" s="4"/>
      <c r="F16" s="4"/>
      <c r="G16" s="4"/>
      <c r="H16" s="4"/>
      <c r="I16" s="4"/>
      <c r="J16" s="4"/>
      <c r="K16" s="4"/>
      <c r="L16" s="4"/>
      <c r="M16" s="4"/>
      <c r="N16" s="4"/>
      <c r="O16" s="4"/>
      <c r="P16" s="4"/>
      <c r="Q16" s="4"/>
      <c r="R16" s="4"/>
      <c r="S16" s="4"/>
      <c r="T16" s="4"/>
      <c r="U16" s="4"/>
      <c r="V16" s="4"/>
      <c r="W16" s="4"/>
      <c r="X16" s="4"/>
      <c r="Y16" s="4"/>
      <c r="Z16" s="4"/>
    </row>
    <row r="17">
      <c r="C17" s="4"/>
      <c r="D17" s="4"/>
      <c r="E17" s="4"/>
      <c r="F17" s="4"/>
      <c r="G17" s="4"/>
      <c r="H17" s="4"/>
      <c r="I17" s="4"/>
      <c r="J17" s="4"/>
      <c r="K17" s="4"/>
      <c r="L17" s="4"/>
      <c r="M17" s="4"/>
      <c r="N17" s="4"/>
      <c r="O17" s="4"/>
      <c r="P17" s="4"/>
      <c r="Q17" s="4"/>
      <c r="R17" s="4"/>
      <c r="S17" s="4"/>
      <c r="T17" s="4"/>
      <c r="U17" s="4"/>
      <c r="V17" s="4"/>
      <c r="W17" s="4"/>
      <c r="X17" s="4"/>
      <c r="Y17" s="4"/>
      <c r="Z17" s="4"/>
    </row>
    <row r="18">
      <c r="C18" s="4"/>
      <c r="D18" s="4"/>
      <c r="E18" s="4"/>
      <c r="F18" s="4"/>
      <c r="G18" s="4"/>
      <c r="H18" s="4"/>
      <c r="I18" s="4"/>
      <c r="J18" s="4"/>
      <c r="K18" s="4"/>
      <c r="L18" s="4"/>
      <c r="M18" s="4"/>
      <c r="N18" s="4"/>
      <c r="O18" s="4"/>
      <c r="P18" s="4"/>
      <c r="Q18" s="4"/>
      <c r="R18" s="4"/>
      <c r="S18" s="4"/>
      <c r="T18" s="4"/>
      <c r="U18" s="4"/>
      <c r="V18" s="4"/>
      <c r="W18" s="4"/>
      <c r="X18" s="4"/>
      <c r="Y18" s="4"/>
      <c r="Z18" s="4"/>
    </row>
    <row r="19">
      <c r="C19" s="4"/>
      <c r="D19" s="4"/>
      <c r="E19" s="4"/>
      <c r="F19" s="4"/>
      <c r="G19" s="4"/>
      <c r="H19" s="4"/>
      <c r="I19" s="4"/>
      <c r="J19" s="4"/>
      <c r="K19" s="4"/>
      <c r="L19" s="4"/>
      <c r="M19" s="4"/>
      <c r="N19" s="4"/>
      <c r="O19" s="4"/>
      <c r="P19" s="4"/>
      <c r="Q19" s="4"/>
      <c r="R19" s="4"/>
      <c r="S19" s="4"/>
      <c r="T19" s="4"/>
      <c r="U19" s="4"/>
      <c r="V19" s="4"/>
      <c r="W19" s="4"/>
      <c r="X19" s="4"/>
      <c r="Y19" s="4"/>
      <c r="Z19" s="4"/>
    </row>
    <row r="20">
      <c r="C20" s="4"/>
      <c r="D20" s="4"/>
      <c r="E20" s="4"/>
      <c r="F20" s="4"/>
      <c r="G20" s="4"/>
      <c r="H20" s="4"/>
      <c r="I20" s="4"/>
      <c r="J20" s="4"/>
      <c r="K20" s="4"/>
      <c r="L20" s="4"/>
      <c r="M20" s="4"/>
      <c r="N20" s="4"/>
      <c r="O20" s="4"/>
      <c r="P20" s="4"/>
      <c r="Q20" s="4"/>
      <c r="R20" s="4"/>
      <c r="S20" s="4"/>
      <c r="T20" s="4"/>
      <c r="U20" s="4"/>
      <c r="V20" s="4"/>
      <c r="W20" s="4"/>
      <c r="X20" s="4"/>
      <c r="Y20" s="4"/>
      <c r="Z20" s="4"/>
    </row>
    <row r="21">
      <c r="C21" s="4"/>
      <c r="D21" s="4"/>
      <c r="E21" s="4"/>
      <c r="F21" s="4"/>
      <c r="G21" s="4"/>
      <c r="H21" s="4"/>
      <c r="I21" s="4"/>
      <c r="J21" s="4"/>
      <c r="K21" s="4"/>
      <c r="L21" s="4"/>
      <c r="M21" s="4"/>
      <c r="N21" s="4"/>
      <c r="O21" s="4"/>
      <c r="P21" s="4"/>
      <c r="Q21" s="4"/>
      <c r="R21" s="4"/>
      <c r="S21" s="4"/>
      <c r="T21" s="4"/>
      <c r="U21" s="4"/>
      <c r="V21" s="4"/>
      <c r="W21" s="4"/>
      <c r="X21" s="4"/>
      <c r="Y21" s="4"/>
      <c r="Z21" s="4"/>
    </row>
    <row r="22">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C1"/>
    <mergeCell ref="E1:G1"/>
    <mergeCell ref="A12:C12"/>
    <mergeCell ref="E12:G12"/>
  </mergeCells>
  <dataValidations>
    <dataValidation type="list" allowBlank="1" showErrorMessage="1" sqref="C3:C11 G3:G11">
      <formula1>"Checked,Un Checked"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36.75"/>
    <col customWidth="1" min="3" max="3" width="108.13"/>
  </cols>
  <sheetData>
    <row r="1">
      <c r="A1" s="11" t="s">
        <v>16</v>
      </c>
      <c r="B1" s="12" t="str">
        <f>CONCATENATE(COUNTIF($A$5:$A$34,TRUE), "/", COUNTA($B$5:$B$34), " completed  ")</f>
        <v>12/27 completed  </v>
      </c>
    </row>
    <row r="3">
      <c r="A3" s="13" t="s">
        <v>17</v>
      </c>
      <c r="B3" s="14" t="s">
        <v>18</v>
      </c>
      <c r="C3" s="15"/>
    </row>
    <row r="4">
      <c r="A4" s="16" t="s">
        <v>19</v>
      </c>
      <c r="B4" s="3"/>
      <c r="C4" s="15"/>
    </row>
    <row r="5">
      <c r="A5" s="17" t="b">
        <v>1</v>
      </c>
      <c r="B5" s="18" t="s">
        <v>20</v>
      </c>
      <c r="C5" s="19"/>
    </row>
    <row r="6">
      <c r="A6" s="20" t="b">
        <v>1</v>
      </c>
      <c r="B6" s="21" t="s">
        <v>21</v>
      </c>
      <c r="C6" s="22" t="s">
        <v>22</v>
      </c>
    </row>
    <row r="7">
      <c r="A7" s="20" t="b">
        <v>1</v>
      </c>
      <c r="B7" s="21" t="s">
        <v>23</v>
      </c>
      <c r="C7" s="23" t="s">
        <v>24</v>
      </c>
    </row>
    <row r="8">
      <c r="A8" s="24" t="b">
        <v>0</v>
      </c>
      <c r="B8" s="21" t="s">
        <v>25</v>
      </c>
      <c r="C8" s="19"/>
    </row>
    <row r="9">
      <c r="A9" s="24" t="b">
        <v>0</v>
      </c>
      <c r="B9" s="21" t="s">
        <v>26</v>
      </c>
      <c r="C9" s="25" t="s">
        <v>27</v>
      </c>
    </row>
    <row r="10">
      <c r="A10" s="24" t="b">
        <v>0</v>
      </c>
      <c r="B10" s="21" t="s">
        <v>28</v>
      </c>
      <c r="C10" s="23" t="s">
        <v>29</v>
      </c>
    </row>
    <row r="11">
      <c r="A11" s="24" t="b">
        <v>0</v>
      </c>
      <c r="B11" s="21" t="s">
        <v>30</v>
      </c>
      <c r="C11" s="23" t="s">
        <v>31</v>
      </c>
    </row>
    <row r="12">
      <c r="A12" s="20" t="b">
        <v>1</v>
      </c>
      <c r="B12" s="21" t="s">
        <v>32</v>
      </c>
      <c r="C12" s="19"/>
    </row>
    <row r="13">
      <c r="A13" s="20" t="b">
        <v>0</v>
      </c>
      <c r="B13" s="21" t="s">
        <v>33</v>
      </c>
      <c r="C13" s="23" t="s">
        <v>34</v>
      </c>
    </row>
    <row r="14">
      <c r="A14" s="20" t="b">
        <v>1</v>
      </c>
      <c r="B14" s="21" t="s">
        <v>35</v>
      </c>
      <c r="C14" s="19"/>
    </row>
    <row r="15">
      <c r="A15" s="20" t="b">
        <v>1</v>
      </c>
      <c r="B15" s="21" t="s">
        <v>36</v>
      </c>
      <c r="C15" s="23" t="s">
        <v>37</v>
      </c>
    </row>
    <row r="16">
      <c r="A16" s="26" t="b">
        <v>1</v>
      </c>
      <c r="B16" s="27" t="s">
        <v>38</v>
      </c>
      <c r="C16" s="23" t="s">
        <v>39</v>
      </c>
    </row>
    <row r="17">
      <c r="A17" s="16" t="s">
        <v>40</v>
      </c>
      <c r="B17" s="3"/>
      <c r="C17" s="28" t="s">
        <v>41</v>
      </c>
    </row>
    <row r="18">
      <c r="A18" s="17" t="b">
        <v>1</v>
      </c>
      <c r="B18" s="18" t="s">
        <v>42</v>
      </c>
      <c r="C18" s="19"/>
    </row>
    <row r="19">
      <c r="A19" s="24" t="b">
        <v>0</v>
      </c>
      <c r="B19" s="21" t="s">
        <v>43</v>
      </c>
      <c r="C19" s="19"/>
    </row>
    <row r="20">
      <c r="A20" s="24" t="b">
        <v>0</v>
      </c>
      <c r="B20" s="21" t="s">
        <v>44</v>
      </c>
      <c r="C20" s="19"/>
    </row>
    <row r="21">
      <c r="A21" s="24" t="b">
        <v>0</v>
      </c>
      <c r="B21" s="21" t="s">
        <v>45</v>
      </c>
      <c r="C21" s="23" t="s">
        <v>46</v>
      </c>
    </row>
    <row r="22">
      <c r="A22" s="24" t="b">
        <v>0</v>
      </c>
      <c r="B22" s="21" t="s">
        <v>47</v>
      </c>
      <c r="C22" s="19"/>
    </row>
    <row r="23">
      <c r="A23" s="20" t="b">
        <v>1</v>
      </c>
      <c r="B23" s="18" t="s">
        <v>20</v>
      </c>
      <c r="C23" s="19"/>
    </row>
    <row r="24">
      <c r="A24" s="20" t="b">
        <v>1</v>
      </c>
      <c r="B24" s="21" t="s">
        <v>21</v>
      </c>
      <c r="C24" s="19"/>
    </row>
    <row r="25">
      <c r="A25" s="20" t="b">
        <v>1</v>
      </c>
      <c r="B25" s="21" t="s">
        <v>23</v>
      </c>
      <c r="C25" s="19"/>
    </row>
    <row r="26">
      <c r="A26" s="24" t="b">
        <v>0</v>
      </c>
      <c r="B26" s="21" t="s">
        <v>25</v>
      </c>
      <c r="C26" s="23" t="s">
        <v>48</v>
      </c>
    </row>
    <row r="27">
      <c r="A27" s="24" t="b">
        <v>0</v>
      </c>
      <c r="B27" s="21" t="s">
        <v>26</v>
      </c>
      <c r="C27" s="25" t="s">
        <v>49</v>
      </c>
    </row>
    <row r="28">
      <c r="A28" s="24" t="b">
        <v>0</v>
      </c>
      <c r="B28" s="21" t="s">
        <v>50</v>
      </c>
      <c r="C28" s="29" t="s">
        <v>51</v>
      </c>
    </row>
    <row r="29">
      <c r="A29" s="24" t="b">
        <v>0</v>
      </c>
      <c r="B29" s="21" t="s">
        <v>52</v>
      </c>
      <c r="C29" s="23" t="s">
        <v>53</v>
      </c>
    </row>
    <row r="30">
      <c r="A30" s="24" t="b">
        <v>0</v>
      </c>
      <c r="B30" s="21" t="s">
        <v>54</v>
      </c>
      <c r="C30" s="19"/>
    </row>
    <row r="31">
      <c r="A31" s="24" t="b">
        <v>0</v>
      </c>
      <c r="B31" s="21" t="s">
        <v>55</v>
      </c>
      <c r="C31" s="30" t="s">
        <v>56</v>
      </c>
    </row>
    <row r="32">
      <c r="A32" s="20" t="b">
        <v>1</v>
      </c>
      <c r="B32" s="21" t="s">
        <v>32</v>
      </c>
      <c r="C32" s="19"/>
    </row>
    <row r="33">
      <c r="A33" s="24"/>
      <c r="B33" s="31"/>
      <c r="C33" s="19"/>
    </row>
  </sheetData>
  <mergeCells count="4">
    <mergeCell ref="A1:A2"/>
    <mergeCell ref="B1:C2"/>
    <mergeCell ref="A4:B4"/>
    <mergeCell ref="A17:B17"/>
  </mergeCells>
  <hyperlinks>
    <hyperlink r:id="rId1" ref="C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36.75"/>
    <col customWidth="1" min="3" max="3" width="108.13"/>
  </cols>
  <sheetData>
    <row r="1">
      <c r="A1" s="11" t="s">
        <v>16</v>
      </c>
      <c r="B1" s="12" t="str">
        <f>CONCATENATE(COUNTIF($A$5:$A$34,TRUE), "/", COUNTA($B$5:$B$34), " completed  ")</f>
        <v>12/27 completed  </v>
      </c>
    </row>
    <row r="3">
      <c r="A3" s="13" t="s">
        <v>17</v>
      </c>
      <c r="B3" s="14" t="s">
        <v>18</v>
      </c>
      <c r="C3" s="15"/>
    </row>
    <row r="4">
      <c r="A4" s="16" t="s">
        <v>19</v>
      </c>
      <c r="B4" s="3"/>
      <c r="C4" s="15"/>
    </row>
    <row r="5">
      <c r="A5" s="17" t="b">
        <v>1</v>
      </c>
      <c r="B5" s="18" t="s">
        <v>20</v>
      </c>
      <c r="C5" s="19"/>
    </row>
    <row r="6">
      <c r="A6" s="20" t="b">
        <v>1</v>
      </c>
      <c r="B6" s="21" t="s">
        <v>21</v>
      </c>
      <c r="C6" s="22" t="s">
        <v>22</v>
      </c>
    </row>
    <row r="7">
      <c r="A7" s="20" t="b">
        <v>1</v>
      </c>
      <c r="B7" s="21" t="s">
        <v>23</v>
      </c>
      <c r="C7" s="23" t="s">
        <v>24</v>
      </c>
    </row>
    <row r="8">
      <c r="A8" s="24" t="b">
        <v>0</v>
      </c>
      <c r="B8" s="21" t="s">
        <v>25</v>
      </c>
      <c r="C8" s="19"/>
    </row>
    <row r="9">
      <c r="A9" s="24" t="b">
        <v>0</v>
      </c>
      <c r="B9" s="21" t="s">
        <v>26</v>
      </c>
      <c r="C9" s="25" t="s">
        <v>27</v>
      </c>
    </row>
    <row r="10">
      <c r="A10" s="24" t="b">
        <v>0</v>
      </c>
      <c r="B10" s="21" t="s">
        <v>28</v>
      </c>
      <c r="C10" s="23" t="s">
        <v>29</v>
      </c>
    </row>
    <row r="11">
      <c r="A11" s="24" t="b">
        <v>0</v>
      </c>
      <c r="B11" s="21" t="s">
        <v>30</v>
      </c>
      <c r="C11" s="23" t="s">
        <v>31</v>
      </c>
    </row>
    <row r="12">
      <c r="A12" s="20" t="b">
        <v>1</v>
      </c>
      <c r="B12" s="21" t="s">
        <v>32</v>
      </c>
      <c r="C12" s="19"/>
    </row>
    <row r="13">
      <c r="A13" s="24" t="b">
        <v>0</v>
      </c>
      <c r="B13" s="21" t="s">
        <v>33</v>
      </c>
      <c r="C13" s="23" t="s">
        <v>34</v>
      </c>
    </row>
    <row r="14">
      <c r="A14" s="20" t="b">
        <v>1</v>
      </c>
      <c r="B14" s="21" t="s">
        <v>35</v>
      </c>
      <c r="C14" s="19"/>
    </row>
    <row r="15">
      <c r="A15" s="20" t="b">
        <v>1</v>
      </c>
      <c r="B15" s="21" t="s">
        <v>36</v>
      </c>
      <c r="C15" s="23" t="s">
        <v>37</v>
      </c>
    </row>
    <row r="16">
      <c r="A16" s="26" t="b">
        <v>1</v>
      </c>
      <c r="B16" s="27" t="s">
        <v>38</v>
      </c>
      <c r="C16" s="23" t="s">
        <v>39</v>
      </c>
    </row>
    <row r="17">
      <c r="A17" s="16" t="s">
        <v>40</v>
      </c>
      <c r="B17" s="3"/>
      <c r="C17" s="28" t="s">
        <v>41</v>
      </c>
    </row>
    <row r="18">
      <c r="A18" s="17" t="b">
        <v>1</v>
      </c>
      <c r="B18" s="18" t="s">
        <v>42</v>
      </c>
      <c r="C18" s="19"/>
    </row>
    <row r="19">
      <c r="A19" s="24" t="b">
        <v>0</v>
      </c>
      <c r="B19" s="21" t="s">
        <v>43</v>
      </c>
      <c r="C19" s="19"/>
    </row>
    <row r="20">
      <c r="A20" s="24" t="b">
        <v>0</v>
      </c>
      <c r="B20" s="21" t="s">
        <v>44</v>
      </c>
      <c r="C20" s="19"/>
    </row>
    <row r="21">
      <c r="A21" s="24" t="b">
        <v>0</v>
      </c>
      <c r="B21" s="21" t="s">
        <v>45</v>
      </c>
      <c r="C21" s="23" t="s">
        <v>46</v>
      </c>
    </row>
    <row r="22">
      <c r="A22" s="24" t="b">
        <v>0</v>
      </c>
      <c r="B22" s="21" t="s">
        <v>47</v>
      </c>
      <c r="C22" s="19"/>
    </row>
    <row r="23">
      <c r="A23" s="20" t="b">
        <v>1</v>
      </c>
      <c r="B23" s="18" t="s">
        <v>20</v>
      </c>
      <c r="C23" s="19"/>
    </row>
    <row r="24">
      <c r="A24" s="20" t="b">
        <v>1</v>
      </c>
      <c r="B24" s="21" t="s">
        <v>21</v>
      </c>
      <c r="C24" s="19"/>
    </row>
    <row r="25">
      <c r="A25" s="20" t="b">
        <v>1</v>
      </c>
      <c r="B25" s="21" t="s">
        <v>23</v>
      </c>
      <c r="C25" s="19"/>
    </row>
    <row r="26">
      <c r="A26" s="24" t="b">
        <v>0</v>
      </c>
      <c r="B26" s="21" t="s">
        <v>25</v>
      </c>
      <c r="C26" s="23" t="s">
        <v>48</v>
      </c>
    </row>
    <row r="27">
      <c r="A27" s="24" t="b">
        <v>0</v>
      </c>
      <c r="B27" s="21" t="s">
        <v>26</v>
      </c>
      <c r="C27" s="25" t="s">
        <v>49</v>
      </c>
    </row>
    <row r="28">
      <c r="A28" s="24" t="b">
        <v>0</v>
      </c>
      <c r="B28" s="21" t="s">
        <v>50</v>
      </c>
      <c r="C28" s="29" t="s">
        <v>57</v>
      </c>
    </row>
    <row r="29">
      <c r="A29" s="24" t="b">
        <v>0</v>
      </c>
      <c r="B29" s="21" t="s">
        <v>52</v>
      </c>
      <c r="C29" s="23" t="s">
        <v>53</v>
      </c>
    </row>
    <row r="30">
      <c r="A30" s="24" t="b">
        <v>0</v>
      </c>
      <c r="B30" s="21" t="s">
        <v>54</v>
      </c>
      <c r="C30" s="19"/>
    </row>
    <row r="31">
      <c r="A31" s="24" t="b">
        <v>0</v>
      </c>
      <c r="B31" s="21" t="s">
        <v>55</v>
      </c>
      <c r="C31" s="30" t="s">
        <v>56</v>
      </c>
    </row>
    <row r="32">
      <c r="A32" s="20" t="b">
        <v>1</v>
      </c>
      <c r="B32" s="21" t="s">
        <v>32</v>
      </c>
      <c r="C32" s="19"/>
    </row>
    <row r="33">
      <c r="A33" s="24"/>
      <c r="B33" s="31"/>
      <c r="C33" s="19"/>
    </row>
  </sheetData>
  <mergeCells count="4">
    <mergeCell ref="A1:A2"/>
    <mergeCell ref="B1:C2"/>
    <mergeCell ref="A4:B4"/>
    <mergeCell ref="A17:B17"/>
  </mergeCells>
  <hyperlinks>
    <hyperlink r:id="rId1" ref="C1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64.63"/>
    <col customWidth="1" min="3" max="3" width="8.0"/>
    <col customWidth="1" min="4" max="4" width="49.0"/>
  </cols>
  <sheetData>
    <row r="1">
      <c r="A1" s="32" t="s">
        <v>0</v>
      </c>
      <c r="B1" s="2"/>
      <c r="C1" s="3"/>
    </row>
    <row r="2">
      <c r="A2" s="33" t="s">
        <v>2</v>
      </c>
      <c r="B2" s="34" t="s">
        <v>58</v>
      </c>
      <c r="C2" s="34" t="s">
        <v>59</v>
      </c>
      <c r="D2" s="35" t="s">
        <v>60</v>
      </c>
    </row>
    <row r="3">
      <c r="A3" s="36">
        <v>1.0</v>
      </c>
      <c r="B3" s="37" t="s">
        <v>61</v>
      </c>
      <c r="C3" s="38"/>
      <c r="D3" s="38"/>
    </row>
    <row r="4">
      <c r="A4" s="36">
        <v>2.0</v>
      </c>
      <c r="B4" s="37" t="s">
        <v>62</v>
      </c>
      <c r="C4" s="38"/>
      <c r="D4" s="38"/>
    </row>
    <row r="5">
      <c r="A5" s="36">
        <v>3.0</v>
      </c>
      <c r="B5" s="37" t="s">
        <v>63</v>
      </c>
      <c r="C5" s="38"/>
      <c r="D5" s="38"/>
    </row>
    <row r="6">
      <c r="A6" s="36">
        <v>4.0</v>
      </c>
      <c r="B6" s="39" t="s">
        <v>64</v>
      </c>
      <c r="C6" s="38"/>
      <c r="D6" s="38"/>
    </row>
    <row r="7">
      <c r="A7" s="36">
        <v>5.0</v>
      </c>
      <c r="B7" s="37" t="s">
        <v>65</v>
      </c>
      <c r="C7" s="38"/>
      <c r="D7" s="38"/>
    </row>
    <row r="8">
      <c r="A8" s="36">
        <v>6.0</v>
      </c>
      <c r="B8" s="40" t="s">
        <v>66</v>
      </c>
      <c r="C8" s="38"/>
      <c r="D8" s="38"/>
    </row>
    <row r="9">
      <c r="A9" s="36">
        <v>7.0</v>
      </c>
      <c r="B9" s="39" t="s">
        <v>67</v>
      </c>
      <c r="C9" s="38"/>
      <c r="D9" s="38"/>
    </row>
    <row r="10">
      <c r="A10" s="36">
        <v>8.0</v>
      </c>
      <c r="B10" s="39" t="s">
        <v>68</v>
      </c>
      <c r="C10" s="38"/>
      <c r="D10" s="38"/>
    </row>
    <row r="11">
      <c r="A11" s="36">
        <v>9.0</v>
      </c>
      <c r="B11" s="39" t="s">
        <v>69</v>
      </c>
      <c r="C11" s="38"/>
      <c r="D11" s="38"/>
    </row>
    <row r="12">
      <c r="A12" s="36">
        <v>10.0</v>
      </c>
      <c r="B12" s="39" t="s">
        <v>70</v>
      </c>
      <c r="C12" s="38"/>
      <c r="D12" s="38"/>
    </row>
    <row r="13">
      <c r="A13" s="36">
        <v>11.0</v>
      </c>
      <c r="B13" s="41" t="s">
        <v>71</v>
      </c>
      <c r="C13" s="38"/>
      <c r="D13" s="38"/>
    </row>
    <row r="14">
      <c r="A14" s="42"/>
      <c r="B14" s="43"/>
      <c r="C14" s="38"/>
      <c r="D14" s="38"/>
    </row>
    <row r="15">
      <c r="A15" s="42"/>
      <c r="B15" s="43"/>
      <c r="C15" s="38"/>
      <c r="D15" s="38"/>
    </row>
    <row r="16">
      <c r="A16" s="42"/>
      <c r="B16" s="44"/>
      <c r="C16" s="38"/>
      <c r="D16" s="38"/>
    </row>
    <row r="17">
      <c r="A17" s="36">
        <v>12.0</v>
      </c>
      <c r="B17" s="37" t="s">
        <v>72</v>
      </c>
      <c r="C17" s="38"/>
      <c r="D17" s="38"/>
    </row>
    <row r="18">
      <c r="A18" s="36">
        <v>13.0</v>
      </c>
      <c r="B18" s="37" t="s">
        <v>73</v>
      </c>
      <c r="C18" s="38"/>
      <c r="D18" s="38"/>
    </row>
    <row r="19">
      <c r="A19" s="36">
        <v>14.0</v>
      </c>
      <c r="B19" s="45" t="s">
        <v>74</v>
      </c>
      <c r="C19" s="38"/>
      <c r="D19" s="38"/>
    </row>
    <row r="20">
      <c r="A20" s="36">
        <v>15.0</v>
      </c>
      <c r="B20" s="42"/>
      <c r="C20" s="38"/>
      <c r="D20" s="38"/>
    </row>
    <row r="21">
      <c r="A21" s="36">
        <v>16.0</v>
      </c>
      <c r="B21" s="42"/>
      <c r="C21" s="38"/>
      <c r="D21" s="38"/>
    </row>
    <row r="23">
      <c r="A23" s="32" t="s">
        <v>1</v>
      </c>
      <c r="B23" s="2"/>
      <c r="C23" s="3"/>
    </row>
    <row r="24">
      <c r="A24" s="33" t="s">
        <v>2</v>
      </c>
      <c r="B24" s="34" t="s">
        <v>58</v>
      </c>
      <c r="C24" s="34" t="s">
        <v>59</v>
      </c>
      <c r="D24" s="35" t="s">
        <v>60</v>
      </c>
    </row>
    <row r="25">
      <c r="A25" s="36">
        <v>1.0</v>
      </c>
      <c r="B25" s="37" t="s">
        <v>61</v>
      </c>
      <c r="C25" s="38"/>
      <c r="D25" s="38"/>
    </row>
    <row r="26">
      <c r="A26" s="36">
        <v>2.0</v>
      </c>
      <c r="B26" s="37" t="s">
        <v>75</v>
      </c>
      <c r="C26" s="38"/>
      <c r="D26" s="38"/>
    </row>
    <row r="27">
      <c r="A27" s="36">
        <v>3.0</v>
      </c>
      <c r="B27" s="37" t="s">
        <v>76</v>
      </c>
      <c r="C27" s="38"/>
      <c r="D27" s="38"/>
    </row>
    <row r="28">
      <c r="A28" s="36">
        <v>4.0</v>
      </c>
      <c r="B28" s="39" t="s">
        <v>64</v>
      </c>
      <c r="C28" s="38"/>
      <c r="D28" s="38"/>
    </row>
    <row r="29">
      <c r="A29" s="36">
        <v>5.0</v>
      </c>
      <c r="B29" s="37" t="s">
        <v>65</v>
      </c>
      <c r="C29" s="38"/>
      <c r="D29" s="38"/>
    </row>
    <row r="30">
      <c r="A30" s="36">
        <v>6.0</v>
      </c>
      <c r="B30" s="40" t="s">
        <v>77</v>
      </c>
      <c r="C30" s="38"/>
      <c r="D30" s="38"/>
    </row>
    <row r="31">
      <c r="A31" s="36">
        <v>7.0</v>
      </c>
      <c r="B31" s="39" t="s">
        <v>67</v>
      </c>
      <c r="C31" s="38"/>
      <c r="D31" s="38"/>
    </row>
    <row r="32">
      <c r="A32" s="36">
        <v>8.0</v>
      </c>
      <c r="B32" s="39" t="s">
        <v>68</v>
      </c>
      <c r="C32" s="38"/>
      <c r="D32" s="38"/>
    </row>
    <row r="33">
      <c r="A33" s="36">
        <v>9.0</v>
      </c>
      <c r="B33" s="39" t="s">
        <v>69</v>
      </c>
      <c r="C33" s="38"/>
      <c r="D33" s="38"/>
    </row>
    <row r="34">
      <c r="A34" s="36">
        <v>10.0</v>
      </c>
      <c r="B34" s="39" t="s">
        <v>70</v>
      </c>
      <c r="C34" s="38"/>
      <c r="D34" s="38"/>
    </row>
    <row r="35">
      <c r="A35" s="36">
        <v>11.0</v>
      </c>
      <c r="B35" s="41" t="s">
        <v>71</v>
      </c>
      <c r="C35" s="38"/>
      <c r="D35" s="38"/>
    </row>
    <row r="36">
      <c r="A36" s="42"/>
      <c r="B36" s="43"/>
      <c r="C36" s="38"/>
      <c r="D36" s="38"/>
    </row>
    <row r="37">
      <c r="A37" s="42"/>
      <c r="B37" s="43"/>
      <c r="C37" s="38"/>
      <c r="D37" s="38"/>
    </row>
    <row r="38">
      <c r="A38" s="42"/>
      <c r="B38" s="44"/>
      <c r="C38" s="38"/>
      <c r="D38" s="38"/>
    </row>
    <row r="39">
      <c r="A39" s="36">
        <v>12.0</v>
      </c>
      <c r="B39" s="37" t="s">
        <v>72</v>
      </c>
      <c r="C39" s="38"/>
      <c r="D39" s="38"/>
    </row>
    <row r="40">
      <c r="A40" s="36">
        <v>13.0</v>
      </c>
      <c r="B40" s="37" t="s">
        <v>78</v>
      </c>
      <c r="C40" s="38"/>
      <c r="D40" s="38"/>
    </row>
    <row r="41">
      <c r="A41" s="36">
        <v>14.0</v>
      </c>
      <c r="B41" s="45" t="s">
        <v>79</v>
      </c>
      <c r="C41" s="38"/>
      <c r="D41" s="38"/>
    </row>
    <row r="42">
      <c r="A42" s="36">
        <v>15.0</v>
      </c>
      <c r="B42" s="42"/>
      <c r="C42" s="38"/>
      <c r="D42" s="38"/>
    </row>
    <row r="43">
      <c r="A43" s="36">
        <v>16.0</v>
      </c>
      <c r="B43" s="42"/>
      <c r="C43" s="38"/>
      <c r="D43" s="38"/>
    </row>
  </sheetData>
  <mergeCells count="4">
    <mergeCell ref="A1:C1"/>
    <mergeCell ref="B13:B16"/>
    <mergeCell ref="A23:C23"/>
    <mergeCell ref="B35:B38"/>
  </mergeCells>
  <dataValidations>
    <dataValidation type="list" allowBlank="1" showErrorMessage="1" sqref="C3:C19 C25:C41">
      <formula1>"Checked,Unchecked"</formula1>
    </dataValidation>
  </dataValidations>
  <hyperlinks>
    <hyperlink r:id="rId1" ref="A2"/>
    <hyperlink r:id="rId2" ref="B3"/>
    <hyperlink r:id="rId3" ref="B4"/>
    <hyperlink r:id="rId4" ref="B5"/>
    <hyperlink r:id="rId5" ref="B7"/>
    <hyperlink r:id="rId6" ref="B8"/>
    <hyperlink r:id="rId7" ref="B17"/>
    <hyperlink r:id="rId8" ref="B18"/>
    <hyperlink r:id="rId9" ref="B19"/>
    <hyperlink r:id="rId10" ref="A24"/>
    <hyperlink r:id="rId11" ref="B25"/>
    <hyperlink r:id="rId12" ref="B26"/>
    <hyperlink r:id="rId13" ref="B27"/>
    <hyperlink r:id="rId14" ref="B29"/>
    <hyperlink r:id="rId15" ref="B30"/>
    <hyperlink r:id="rId16" ref="B39"/>
    <hyperlink r:id="rId17" ref="B40"/>
    <hyperlink r:id="rId18" ref="B41"/>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75"/>
    <col customWidth="1" min="3" max="3" width="12.88"/>
    <col customWidth="1" min="5" max="5" width="13.75"/>
    <col customWidth="1" min="8" max="9" width="15.25"/>
    <col customWidth="1" min="11" max="11" width="17.13"/>
    <col customWidth="1" min="14" max="14" width="14.13"/>
    <col customWidth="1" min="15" max="15" width="14.0"/>
    <col customWidth="1" min="16" max="16" width="20.13"/>
    <col customWidth="1" min="17" max="17" width="15.25"/>
    <col customWidth="1" min="18" max="18" width="20.5"/>
    <col customWidth="1" min="19" max="19" width="71.63"/>
    <col customWidth="1" min="20" max="20" width="22.13"/>
    <col customWidth="1" min="21" max="21" width="16.13"/>
    <col customWidth="1" min="22" max="22" width="19.5"/>
  </cols>
  <sheetData>
    <row r="1" ht="22.5" customHeight="1">
      <c r="A1" s="46" t="s">
        <v>80</v>
      </c>
      <c r="B1" s="46" t="s">
        <v>81</v>
      </c>
      <c r="C1" s="46" t="s">
        <v>82</v>
      </c>
      <c r="D1" s="46" t="s">
        <v>83</v>
      </c>
      <c r="E1" s="46" t="s">
        <v>84</v>
      </c>
      <c r="F1" s="46" t="s">
        <v>85</v>
      </c>
      <c r="G1" s="46" t="s">
        <v>86</v>
      </c>
      <c r="H1" s="46" t="s">
        <v>87</v>
      </c>
      <c r="I1" s="46" t="s">
        <v>88</v>
      </c>
      <c r="J1" s="46" t="s">
        <v>89</v>
      </c>
      <c r="K1" s="46" t="s">
        <v>90</v>
      </c>
      <c r="L1" s="46" t="s">
        <v>91</v>
      </c>
      <c r="M1" s="46" t="s">
        <v>92</v>
      </c>
      <c r="N1" s="46" t="s">
        <v>93</v>
      </c>
      <c r="O1" s="46" t="s">
        <v>94</v>
      </c>
      <c r="P1" s="46" t="s">
        <v>95</v>
      </c>
      <c r="Q1" s="46" t="s">
        <v>96</v>
      </c>
      <c r="R1" s="46" t="s">
        <v>97</v>
      </c>
      <c r="S1" s="47" t="s">
        <v>98</v>
      </c>
      <c r="T1" s="48" t="s">
        <v>99</v>
      </c>
      <c r="U1" s="46" t="s">
        <v>100</v>
      </c>
      <c r="V1" s="46" t="s">
        <v>101</v>
      </c>
    </row>
    <row r="2" ht="22.5" hidden="1" customHeight="1">
      <c r="A2" s="49">
        <v>1.0</v>
      </c>
      <c r="B2" s="50" t="s">
        <v>102</v>
      </c>
      <c r="C2" s="50" t="s">
        <v>103</v>
      </c>
      <c r="D2" s="50" t="s">
        <v>104</v>
      </c>
      <c r="E2" s="49" t="s">
        <v>105</v>
      </c>
      <c r="F2" s="50">
        <v>4.0</v>
      </c>
      <c r="G2" s="50" t="s">
        <v>106</v>
      </c>
      <c r="H2" s="49" t="s">
        <v>107</v>
      </c>
      <c r="I2" s="50" t="s">
        <v>108</v>
      </c>
      <c r="J2" s="50" t="s">
        <v>109</v>
      </c>
      <c r="K2" s="49" t="s">
        <v>110</v>
      </c>
      <c r="L2" s="50" t="s">
        <v>111</v>
      </c>
      <c r="M2" s="50" t="s">
        <v>112</v>
      </c>
      <c r="N2" s="49" t="s">
        <v>113</v>
      </c>
      <c r="O2" s="50" t="s">
        <v>114</v>
      </c>
      <c r="P2" s="50" t="s">
        <v>115</v>
      </c>
      <c r="Q2" s="49" t="s">
        <v>116</v>
      </c>
      <c r="R2" s="51" t="s">
        <v>117</v>
      </c>
      <c r="S2" s="52" t="s">
        <v>118</v>
      </c>
      <c r="T2" s="53" t="s">
        <v>119</v>
      </c>
      <c r="U2" s="50" t="s">
        <v>120</v>
      </c>
      <c r="V2" s="50" t="s">
        <v>121</v>
      </c>
    </row>
    <row r="3" ht="22.5" hidden="1" customHeight="1">
      <c r="A3" s="49">
        <v>2.0</v>
      </c>
      <c r="B3" s="50" t="s">
        <v>122</v>
      </c>
      <c r="C3" s="50" t="s">
        <v>123</v>
      </c>
      <c r="D3" s="50" t="s">
        <v>124</v>
      </c>
      <c r="E3" s="49" t="s">
        <v>125</v>
      </c>
      <c r="F3" s="50">
        <v>3.0</v>
      </c>
      <c r="G3" s="50" t="s">
        <v>126</v>
      </c>
      <c r="H3" s="49" t="s">
        <v>127</v>
      </c>
      <c r="I3" s="50" t="s">
        <v>128</v>
      </c>
      <c r="J3" s="50" t="s">
        <v>109</v>
      </c>
      <c r="K3" s="49" t="s">
        <v>129</v>
      </c>
      <c r="L3" s="50" t="s">
        <v>130</v>
      </c>
      <c r="M3" s="50" t="s">
        <v>130</v>
      </c>
      <c r="N3" s="49" t="s">
        <v>115</v>
      </c>
      <c r="O3" s="50" t="s">
        <v>131</v>
      </c>
      <c r="P3" s="50" t="s">
        <v>115</v>
      </c>
      <c r="Q3" s="49" t="s">
        <v>132</v>
      </c>
      <c r="R3" s="51" t="s">
        <v>133</v>
      </c>
      <c r="S3" s="52" t="s">
        <v>134</v>
      </c>
      <c r="T3" s="53" t="s">
        <v>135</v>
      </c>
      <c r="U3" s="50">
        <v>2.5</v>
      </c>
      <c r="V3" s="50" t="s">
        <v>121</v>
      </c>
    </row>
    <row r="4" ht="22.5" customHeight="1">
      <c r="A4" s="49">
        <v>3.0</v>
      </c>
      <c r="B4" s="50" t="s">
        <v>136</v>
      </c>
      <c r="C4" s="50" t="s">
        <v>137</v>
      </c>
      <c r="D4" s="50" t="s">
        <v>138</v>
      </c>
      <c r="E4" s="49" t="s">
        <v>125</v>
      </c>
      <c r="F4" s="50">
        <v>3.0</v>
      </c>
      <c r="G4" s="50" t="s">
        <v>126</v>
      </c>
      <c r="H4" s="49" t="s">
        <v>139</v>
      </c>
      <c r="I4" s="50" t="s">
        <v>140</v>
      </c>
      <c r="J4" s="50" t="s">
        <v>109</v>
      </c>
      <c r="K4" s="49" t="s">
        <v>141</v>
      </c>
      <c r="L4" s="50" t="s">
        <v>142</v>
      </c>
      <c r="M4" s="50" t="s">
        <v>143</v>
      </c>
      <c r="N4" s="49" t="s">
        <v>144</v>
      </c>
      <c r="O4" s="50" t="s">
        <v>115</v>
      </c>
      <c r="P4" s="50" t="s">
        <v>115</v>
      </c>
      <c r="Q4" s="49" t="s">
        <v>145</v>
      </c>
      <c r="R4" s="51" t="s">
        <v>146</v>
      </c>
      <c r="S4" s="52" t="s">
        <v>147</v>
      </c>
      <c r="T4" s="53" t="s">
        <v>148</v>
      </c>
      <c r="U4" s="50" t="s">
        <v>149</v>
      </c>
      <c r="V4" s="50" t="s">
        <v>121</v>
      </c>
    </row>
    <row r="5" ht="22.5" customHeight="1">
      <c r="A5" s="49">
        <v>4.0</v>
      </c>
      <c r="B5" s="50" t="s">
        <v>150</v>
      </c>
      <c r="C5" s="50" t="s">
        <v>151</v>
      </c>
      <c r="D5" s="50" t="s">
        <v>152</v>
      </c>
      <c r="E5" s="49" t="s">
        <v>125</v>
      </c>
      <c r="F5" s="50">
        <v>3.0</v>
      </c>
      <c r="G5" s="50" t="s">
        <v>126</v>
      </c>
      <c r="H5" s="49" t="s">
        <v>153</v>
      </c>
      <c r="I5" s="50" t="s">
        <v>128</v>
      </c>
      <c r="J5" s="50" t="s">
        <v>109</v>
      </c>
      <c r="K5" s="49" t="s">
        <v>154</v>
      </c>
      <c r="L5" s="50" t="s">
        <v>155</v>
      </c>
      <c r="M5" s="50" t="s">
        <v>155</v>
      </c>
      <c r="N5" s="49" t="s">
        <v>115</v>
      </c>
      <c r="O5" s="50" t="s">
        <v>115</v>
      </c>
      <c r="P5" s="50" t="s">
        <v>115</v>
      </c>
      <c r="Q5" s="49" t="s">
        <v>156</v>
      </c>
      <c r="R5" s="51" t="s">
        <v>157</v>
      </c>
      <c r="S5" s="52" t="s">
        <v>158</v>
      </c>
      <c r="T5" s="53" t="s">
        <v>159</v>
      </c>
      <c r="U5" s="50">
        <v>2.5</v>
      </c>
      <c r="V5" s="50" t="s">
        <v>160</v>
      </c>
    </row>
    <row r="6" ht="22.5" customHeight="1">
      <c r="A6" s="49">
        <v>5.0</v>
      </c>
      <c r="B6" s="50" t="s">
        <v>161</v>
      </c>
      <c r="C6" s="50" t="s">
        <v>162</v>
      </c>
      <c r="D6" s="50" t="s">
        <v>124</v>
      </c>
      <c r="E6" s="49" t="s">
        <v>125</v>
      </c>
      <c r="F6" s="50">
        <v>3.0</v>
      </c>
      <c r="G6" s="50" t="s">
        <v>126</v>
      </c>
      <c r="H6" s="49" t="s">
        <v>163</v>
      </c>
      <c r="I6" s="50" t="s">
        <v>164</v>
      </c>
      <c r="J6" s="50" t="s">
        <v>109</v>
      </c>
      <c r="K6" s="49" t="s">
        <v>165</v>
      </c>
      <c r="L6" s="50" t="s">
        <v>155</v>
      </c>
      <c r="M6" s="50" t="s">
        <v>155</v>
      </c>
      <c r="N6" s="49" t="s">
        <v>166</v>
      </c>
      <c r="O6" s="50" t="s">
        <v>115</v>
      </c>
      <c r="P6" s="50" t="s">
        <v>115</v>
      </c>
      <c r="Q6" s="49" t="s">
        <v>156</v>
      </c>
      <c r="R6" s="51" t="s">
        <v>167</v>
      </c>
      <c r="S6" s="52" t="s">
        <v>147</v>
      </c>
      <c r="T6" s="53" t="s">
        <v>168</v>
      </c>
      <c r="U6" s="50">
        <v>2.5</v>
      </c>
      <c r="V6" s="50" t="s">
        <v>121</v>
      </c>
    </row>
    <row r="7" ht="22.5" hidden="1" customHeight="1">
      <c r="A7" s="49">
        <v>6.0</v>
      </c>
      <c r="B7" s="50" t="s">
        <v>169</v>
      </c>
      <c r="C7" s="50" t="s">
        <v>170</v>
      </c>
      <c r="D7" s="50" t="s">
        <v>171</v>
      </c>
      <c r="E7" s="49" t="s">
        <v>172</v>
      </c>
      <c r="F7" s="50">
        <v>3.0</v>
      </c>
      <c r="G7" s="50" t="s">
        <v>126</v>
      </c>
      <c r="H7" s="49" t="s">
        <v>127</v>
      </c>
      <c r="I7" s="50" t="s">
        <v>173</v>
      </c>
      <c r="J7" s="50" t="s">
        <v>109</v>
      </c>
      <c r="K7" s="49" t="s">
        <v>174</v>
      </c>
      <c r="L7" s="50" t="s">
        <v>155</v>
      </c>
      <c r="M7" s="50" t="s">
        <v>155</v>
      </c>
      <c r="N7" s="49" t="s">
        <v>175</v>
      </c>
      <c r="O7" s="50" t="s">
        <v>115</v>
      </c>
      <c r="P7" s="50" t="s">
        <v>176</v>
      </c>
      <c r="Q7" s="49" t="s">
        <v>132</v>
      </c>
      <c r="R7" s="51" t="s">
        <v>177</v>
      </c>
      <c r="S7" s="52" t="s">
        <v>178</v>
      </c>
      <c r="T7" s="53" t="s">
        <v>179</v>
      </c>
      <c r="U7" s="50">
        <v>2.8</v>
      </c>
      <c r="V7" s="50" t="s">
        <v>121</v>
      </c>
    </row>
    <row r="8" ht="22.5" hidden="1" customHeight="1">
      <c r="A8" s="49">
        <v>7.0</v>
      </c>
      <c r="B8" s="50" t="s">
        <v>180</v>
      </c>
      <c r="C8" s="50" t="s">
        <v>181</v>
      </c>
      <c r="D8" s="50" t="s">
        <v>182</v>
      </c>
      <c r="E8" s="49" t="s">
        <v>125</v>
      </c>
      <c r="F8" s="50">
        <v>3.0</v>
      </c>
      <c r="G8" s="50" t="s">
        <v>106</v>
      </c>
      <c r="H8" s="49" t="s">
        <v>183</v>
      </c>
      <c r="I8" s="50" t="s">
        <v>184</v>
      </c>
      <c r="J8" s="50" t="s">
        <v>185</v>
      </c>
      <c r="K8" s="49" t="s">
        <v>186</v>
      </c>
      <c r="L8" s="50" t="s">
        <v>111</v>
      </c>
      <c r="M8" s="50" t="s">
        <v>187</v>
      </c>
      <c r="N8" s="49" t="s">
        <v>188</v>
      </c>
      <c r="O8" s="50" t="s">
        <v>115</v>
      </c>
      <c r="P8" s="50" t="s">
        <v>115</v>
      </c>
      <c r="Q8" s="49" t="s">
        <v>116</v>
      </c>
      <c r="R8" s="51" t="s">
        <v>189</v>
      </c>
      <c r="S8" s="52" t="s">
        <v>190</v>
      </c>
      <c r="T8" s="53" t="s">
        <v>191</v>
      </c>
      <c r="U8" s="50" t="s">
        <v>120</v>
      </c>
      <c r="V8" s="50" t="s">
        <v>160</v>
      </c>
    </row>
    <row r="9" ht="22.5" hidden="1" customHeight="1">
      <c r="A9" s="49">
        <v>8.0</v>
      </c>
      <c r="B9" s="50" t="s">
        <v>192</v>
      </c>
      <c r="C9" s="50" t="s">
        <v>193</v>
      </c>
      <c r="D9" s="50" t="s">
        <v>194</v>
      </c>
      <c r="E9" s="49" t="s">
        <v>195</v>
      </c>
      <c r="F9" s="50">
        <v>4.0</v>
      </c>
      <c r="G9" s="50" t="s">
        <v>196</v>
      </c>
      <c r="H9" s="49" t="s">
        <v>197</v>
      </c>
      <c r="I9" s="50" t="s">
        <v>198</v>
      </c>
      <c r="J9" s="50" t="s">
        <v>109</v>
      </c>
      <c r="K9" s="49" t="s">
        <v>199</v>
      </c>
      <c r="L9" s="50" t="s">
        <v>111</v>
      </c>
      <c r="M9" s="50" t="s">
        <v>200</v>
      </c>
      <c r="N9" s="49" t="s">
        <v>144</v>
      </c>
      <c r="O9" s="50" t="s">
        <v>115</v>
      </c>
      <c r="P9" s="50" t="s">
        <v>115</v>
      </c>
      <c r="Q9" s="49" t="s">
        <v>201</v>
      </c>
      <c r="R9" s="51" t="s">
        <v>202</v>
      </c>
      <c r="S9" s="52" t="s">
        <v>203</v>
      </c>
      <c r="T9" s="53" t="s">
        <v>204</v>
      </c>
      <c r="U9" s="50" t="s">
        <v>120</v>
      </c>
      <c r="V9" s="50" t="s">
        <v>160</v>
      </c>
    </row>
    <row r="10" ht="22.5" hidden="1" customHeight="1">
      <c r="A10" s="49">
        <v>9.0</v>
      </c>
      <c r="B10" s="50" t="s">
        <v>205</v>
      </c>
      <c r="C10" s="50" t="s">
        <v>206</v>
      </c>
      <c r="D10" s="50" t="s">
        <v>207</v>
      </c>
      <c r="E10" s="49" t="s">
        <v>125</v>
      </c>
      <c r="F10" s="50">
        <v>4.0</v>
      </c>
      <c r="G10" s="50" t="s">
        <v>196</v>
      </c>
      <c r="H10" s="49" t="s">
        <v>208</v>
      </c>
      <c r="I10" s="50" t="s">
        <v>209</v>
      </c>
      <c r="J10" s="50" t="s">
        <v>210</v>
      </c>
      <c r="K10" s="49" t="s">
        <v>211</v>
      </c>
      <c r="L10" s="50" t="s">
        <v>212</v>
      </c>
      <c r="M10" s="50" t="s">
        <v>213</v>
      </c>
      <c r="N10" s="49" t="s">
        <v>214</v>
      </c>
      <c r="O10" s="50" t="s">
        <v>215</v>
      </c>
      <c r="P10" s="50" t="s">
        <v>216</v>
      </c>
      <c r="Q10" s="49" t="s">
        <v>116</v>
      </c>
      <c r="R10" s="51" t="s">
        <v>217</v>
      </c>
      <c r="S10" s="52" t="s">
        <v>218</v>
      </c>
      <c r="T10" s="53" t="s">
        <v>219</v>
      </c>
      <c r="U10" s="50" t="s">
        <v>120</v>
      </c>
      <c r="V10" s="50" t="s">
        <v>121</v>
      </c>
    </row>
    <row r="11" ht="22.5" hidden="1" customHeight="1">
      <c r="A11" s="49">
        <v>10.0</v>
      </c>
      <c r="B11" s="50" t="s">
        <v>220</v>
      </c>
      <c r="C11" s="50" t="s">
        <v>221</v>
      </c>
      <c r="D11" s="50" t="s">
        <v>222</v>
      </c>
      <c r="E11" s="49" t="s">
        <v>223</v>
      </c>
      <c r="F11" s="50">
        <v>4.0</v>
      </c>
      <c r="G11" s="50" t="s">
        <v>126</v>
      </c>
      <c r="H11" s="49" t="s">
        <v>224</v>
      </c>
      <c r="I11" s="50" t="s">
        <v>225</v>
      </c>
      <c r="J11" s="50" t="s">
        <v>109</v>
      </c>
      <c r="K11" s="49" t="s">
        <v>226</v>
      </c>
      <c r="L11" s="50" t="s">
        <v>155</v>
      </c>
      <c r="M11" s="50" t="s">
        <v>155</v>
      </c>
      <c r="N11" s="49" t="s">
        <v>155</v>
      </c>
      <c r="O11" s="50" t="s">
        <v>115</v>
      </c>
      <c r="P11" s="50" t="s">
        <v>115</v>
      </c>
      <c r="Q11" s="49" t="s">
        <v>227</v>
      </c>
      <c r="R11" s="51" t="s">
        <v>228</v>
      </c>
      <c r="S11" s="52" t="s">
        <v>147</v>
      </c>
      <c r="T11" s="53" t="s">
        <v>229</v>
      </c>
      <c r="U11" s="50">
        <v>2.5</v>
      </c>
      <c r="V11" s="50" t="s">
        <v>121</v>
      </c>
    </row>
    <row r="12" ht="22.5" customHeight="1">
      <c r="A12" s="49">
        <v>11.0</v>
      </c>
      <c r="B12" s="50" t="s">
        <v>230</v>
      </c>
      <c r="C12" s="50" t="s">
        <v>231</v>
      </c>
      <c r="D12" s="50" t="s">
        <v>232</v>
      </c>
      <c r="E12" s="49" t="s">
        <v>125</v>
      </c>
      <c r="F12" s="50">
        <v>4.0</v>
      </c>
      <c r="G12" s="50" t="s">
        <v>196</v>
      </c>
      <c r="H12" s="49" t="s">
        <v>233</v>
      </c>
      <c r="I12" s="50" t="s">
        <v>234</v>
      </c>
      <c r="J12" s="50" t="s">
        <v>109</v>
      </c>
      <c r="K12" s="49" t="s">
        <v>235</v>
      </c>
      <c r="L12" s="50" t="s">
        <v>130</v>
      </c>
      <c r="M12" s="50" t="s">
        <v>130</v>
      </c>
      <c r="N12" s="49" t="s">
        <v>115</v>
      </c>
      <c r="O12" s="50" t="s">
        <v>115</v>
      </c>
      <c r="P12" s="50" t="s">
        <v>115</v>
      </c>
      <c r="Q12" s="49" t="s">
        <v>156</v>
      </c>
      <c r="R12" s="51" t="s">
        <v>236</v>
      </c>
      <c r="S12" s="52" t="s">
        <v>237</v>
      </c>
      <c r="T12" s="53" t="s">
        <v>238</v>
      </c>
      <c r="U12" s="50">
        <v>2.5</v>
      </c>
      <c r="V12" s="50" t="s">
        <v>121</v>
      </c>
    </row>
    <row r="13" ht="22.5" hidden="1" customHeight="1">
      <c r="A13" s="49">
        <v>12.0</v>
      </c>
      <c r="B13" s="50" t="s">
        <v>239</v>
      </c>
      <c r="C13" s="50" t="s">
        <v>181</v>
      </c>
      <c r="D13" s="50" t="s">
        <v>240</v>
      </c>
      <c r="E13" s="49" t="s">
        <v>105</v>
      </c>
      <c r="F13" s="50">
        <v>3.0</v>
      </c>
      <c r="G13" s="50" t="s">
        <v>106</v>
      </c>
      <c r="H13" s="49" t="s">
        <v>241</v>
      </c>
      <c r="I13" s="50" t="s">
        <v>242</v>
      </c>
      <c r="J13" s="50" t="s">
        <v>243</v>
      </c>
      <c r="K13" s="49" t="s">
        <v>244</v>
      </c>
      <c r="L13" s="50" t="s">
        <v>245</v>
      </c>
      <c r="M13" s="50" t="s">
        <v>246</v>
      </c>
      <c r="N13" s="49" t="s">
        <v>188</v>
      </c>
      <c r="O13" s="50" t="s">
        <v>115</v>
      </c>
      <c r="P13" s="50" t="s">
        <v>115</v>
      </c>
      <c r="Q13" s="49" t="s">
        <v>227</v>
      </c>
      <c r="R13" s="51" t="s">
        <v>247</v>
      </c>
      <c r="S13" s="52" t="s">
        <v>248</v>
      </c>
      <c r="T13" s="53" t="s">
        <v>249</v>
      </c>
      <c r="U13" s="50" t="s">
        <v>120</v>
      </c>
      <c r="V13" s="50" t="s">
        <v>160</v>
      </c>
    </row>
    <row r="14" ht="22.5" hidden="1" customHeight="1">
      <c r="A14" s="49">
        <v>13.0</v>
      </c>
      <c r="B14" s="50" t="s">
        <v>250</v>
      </c>
      <c r="C14" s="50" t="s">
        <v>206</v>
      </c>
      <c r="D14" s="50" t="s">
        <v>251</v>
      </c>
      <c r="E14" s="49" t="s">
        <v>105</v>
      </c>
      <c r="F14" s="50">
        <v>3.0</v>
      </c>
      <c r="G14" s="50" t="s">
        <v>106</v>
      </c>
      <c r="H14" s="49" t="s">
        <v>252</v>
      </c>
      <c r="I14" s="50" t="s">
        <v>253</v>
      </c>
      <c r="J14" s="50" t="s">
        <v>109</v>
      </c>
      <c r="K14" s="49" t="s">
        <v>254</v>
      </c>
      <c r="L14" s="50" t="s">
        <v>255</v>
      </c>
      <c r="M14" s="50" t="s">
        <v>256</v>
      </c>
      <c r="N14" s="49" t="s">
        <v>115</v>
      </c>
      <c r="O14" s="50" t="s">
        <v>257</v>
      </c>
      <c r="P14" s="50" t="s">
        <v>115</v>
      </c>
      <c r="Q14" s="49" t="s">
        <v>116</v>
      </c>
      <c r="R14" s="51" t="s">
        <v>258</v>
      </c>
      <c r="S14" s="52" t="s">
        <v>259</v>
      </c>
      <c r="T14" s="53" t="s">
        <v>260</v>
      </c>
      <c r="U14" s="50" t="s">
        <v>120</v>
      </c>
      <c r="V14" s="50" t="s">
        <v>121</v>
      </c>
    </row>
    <row r="15" ht="22.5" hidden="1" customHeight="1">
      <c r="A15" s="49">
        <v>14.0</v>
      </c>
      <c r="B15" s="50" t="s">
        <v>261</v>
      </c>
      <c r="C15" s="50" t="s">
        <v>262</v>
      </c>
      <c r="D15" s="50" t="s">
        <v>263</v>
      </c>
      <c r="E15" s="49" t="s">
        <v>264</v>
      </c>
      <c r="F15" s="50">
        <v>4.0</v>
      </c>
      <c r="G15" s="50" t="s">
        <v>126</v>
      </c>
      <c r="H15" s="49" t="s">
        <v>265</v>
      </c>
      <c r="I15" s="50" t="s">
        <v>266</v>
      </c>
      <c r="J15" s="50" t="s">
        <v>109</v>
      </c>
      <c r="K15" s="49" t="s">
        <v>267</v>
      </c>
      <c r="L15" s="50" t="s">
        <v>255</v>
      </c>
      <c r="M15" s="50" t="s">
        <v>268</v>
      </c>
      <c r="N15" s="49" t="s">
        <v>269</v>
      </c>
      <c r="O15" s="50" t="s">
        <v>115</v>
      </c>
      <c r="P15" s="50" t="s">
        <v>115</v>
      </c>
      <c r="Q15" s="49" t="s">
        <v>156</v>
      </c>
      <c r="R15" s="51" t="s">
        <v>270</v>
      </c>
      <c r="S15" s="52" t="s">
        <v>271</v>
      </c>
      <c r="T15" s="53" t="s">
        <v>272</v>
      </c>
      <c r="U15" s="50" t="s">
        <v>120</v>
      </c>
      <c r="V15" s="50" t="s">
        <v>160</v>
      </c>
    </row>
    <row r="16" ht="22.5" customHeight="1">
      <c r="A16" s="49">
        <v>15.0</v>
      </c>
      <c r="B16" s="50" t="s">
        <v>273</v>
      </c>
      <c r="C16" s="50" t="s">
        <v>274</v>
      </c>
      <c r="D16" s="50" t="s">
        <v>275</v>
      </c>
      <c r="E16" s="49" t="s">
        <v>105</v>
      </c>
      <c r="F16" s="50">
        <v>3.0</v>
      </c>
      <c r="G16" s="50" t="s">
        <v>276</v>
      </c>
      <c r="H16" s="49" t="s">
        <v>277</v>
      </c>
      <c r="I16" s="50" t="s">
        <v>278</v>
      </c>
      <c r="J16" s="50" t="s">
        <v>109</v>
      </c>
      <c r="K16" s="49" t="s">
        <v>279</v>
      </c>
      <c r="L16" s="50" t="s">
        <v>280</v>
      </c>
      <c r="M16" s="50" t="s">
        <v>281</v>
      </c>
      <c r="N16" s="49" t="s">
        <v>115</v>
      </c>
      <c r="O16" s="50" t="s">
        <v>115</v>
      </c>
      <c r="P16" s="50" t="s">
        <v>115</v>
      </c>
      <c r="Q16" s="49" t="s">
        <v>282</v>
      </c>
      <c r="R16" s="51" t="s">
        <v>283</v>
      </c>
      <c r="S16" s="52" t="s">
        <v>284</v>
      </c>
      <c r="T16" s="53" t="s">
        <v>285</v>
      </c>
      <c r="U16" s="50" t="s">
        <v>120</v>
      </c>
      <c r="V16" s="50" t="s">
        <v>160</v>
      </c>
    </row>
    <row r="17" ht="22.5" customHeight="1">
      <c r="A17" s="49">
        <v>16.0</v>
      </c>
      <c r="B17" s="50" t="s">
        <v>273</v>
      </c>
      <c r="C17" s="50" t="s">
        <v>274</v>
      </c>
      <c r="D17" s="50" t="s">
        <v>286</v>
      </c>
      <c r="E17" s="49" t="s">
        <v>105</v>
      </c>
      <c r="F17" s="50">
        <v>3.0</v>
      </c>
      <c r="G17" s="50" t="s">
        <v>126</v>
      </c>
      <c r="H17" s="49" t="s">
        <v>287</v>
      </c>
      <c r="I17" s="50" t="s">
        <v>288</v>
      </c>
      <c r="J17" s="50" t="s">
        <v>109</v>
      </c>
      <c r="K17" s="49" t="s">
        <v>279</v>
      </c>
      <c r="L17" s="50" t="s">
        <v>280</v>
      </c>
      <c r="M17" s="50" t="s">
        <v>281</v>
      </c>
      <c r="N17" s="49" t="s">
        <v>289</v>
      </c>
      <c r="O17" s="50" t="s">
        <v>115</v>
      </c>
      <c r="P17" s="50" t="s">
        <v>290</v>
      </c>
      <c r="Q17" s="49" t="s">
        <v>282</v>
      </c>
      <c r="R17" s="51" t="s">
        <v>291</v>
      </c>
      <c r="S17" s="52" t="s">
        <v>292</v>
      </c>
      <c r="T17" s="53" t="s">
        <v>293</v>
      </c>
      <c r="U17" s="50" t="s">
        <v>120</v>
      </c>
      <c r="V17" s="50" t="s">
        <v>160</v>
      </c>
    </row>
    <row r="18" ht="22.5" hidden="1" customHeight="1">
      <c r="A18" s="49">
        <v>17.0</v>
      </c>
      <c r="B18" s="50" t="s">
        <v>294</v>
      </c>
      <c r="C18" s="50" t="s">
        <v>206</v>
      </c>
      <c r="D18" s="50" t="s">
        <v>295</v>
      </c>
      <c r="E18" s="49" t="s">
        <v>105</v>
      </c>
      <c r="F18" s="50">
        <v>3.0</v>
      </c>
      <c r="G18" s="50" t="s">
        <v>126</v>
      </c>
      <c r="H18" s="49" t="s">
        <v>127</v>
      </c>
      <c r="I18" s="50" t="s">
        <v>296</v>
      </c>
      <c r="J18" s="50" t="s">
        <v>297</v>
      </c>
      <c r="K18" s="49" t="s">
        <v>254</v>
      </c>
      <c r="L18" s="50" t="s">
        <v>245</v>
      </c>
      <c r="M18" s="50" t="s">
        <v>298</v>
      </c>
      <c r="N18" s="49" t="s">
        <v>144</v>
      </c>
      <c r="O18" s="50" t="s">
        <v>299</v>
      </c>
      <c r="P18" s="50" t="s">
        <v>115</v>
      </c>
      <c r="Q18" s="49" t="s">
        <v>116</v>
      </c>
      <c r="R18" s="51" t="s">
        <v>300</v>
      </c>
      <c r="S18" s="52" t="s">
        <v>301</v>
      </c>
      <c r="T18" s="53" t="s">
        <v>302</v>
      </c>
      <c r="U18" s="50" t="s">
        <v>120</v>
      </c>
      <c r="V18" s="50" t="s">
        <v>160</v>
      </c>
    </row>
    <row r="19" ht="22.5" hidden="1" customHeight="1">
      <c r="A19" s="49">
        <v>18.0</v>
      </c>
      <c r="B19" s="50" t="s">
        <v>303</v>
      </c>
      <c r="C19" s="50" t="s">
        <v>304</v>
      </c>
      <c r="D19" s="50" t="s">
        <v>305</v>
      </c>
      <c r="E19" s="49" t="s">
        <v>105</v>
      </c>
      <c r="F19" s="50">
        <v>3.0</v>
      </c>
      <c r="G19" s="50" t="s">
        <v>106</v>
      </c>
      <c r="H19" s="49" t="s">
        <v>233</v>
      </c>
      <c r="I19" s="50" t="s">
        <v>108</v>
      </c>
      <c r="J19" s="50" t="s">
        <v>306</v>
      </c>
      <c r="K19" s="49" t="s">
        <v>307</v>
      </c>
      <c r="L19" s="50" t="s">
        <v>280</v>
      </c>
      <c r="M19" s="50" t="s">
        <v>308</v>
      </c>
      <c r="N19" s="49" t="s">
        <v>309</v>
      </c>
      <c r="O19" s="50" t="s">
        <v>310</v>
      </c>
      <c r="P19" s="50" t="s">
        <v>311</v>
      </c>
      <c r="Q19" s="49" t="s">
        <v>227</v>
      </c>
      <c r="R19" s="51" t="s">
        <v>312</v>
      </c>
      <c r="S19" s="52" t="s">
        <v>313</v>
      </c>
      <c r="T19" s="53" t="s">
        <v>314</v>
      </c>
      <c r="U19" s="50">
        <v>2.5</v>
      </c>
      <c r="V19" s="50" t="s">
        <v>160</v>
      </c>
    </row>
    <row r="20" ht="22.5" customHeight="1">
      <c r="A20" s="49">
        <v>19.0</v>
      </c>
      <c r="B20" s="50" t="s">
        <v>315</v>
      </c>
      <c r="C20" s="50" t="s">
        <v>193</v>
      </c>
      <c r="D20" s="50" t="s">
        <v>305</v>
      </c>
      <c r="E20" s="49" t="s">
        <v>105</v>
      </c>
      <c r="F20" s="50">
        <v>4.0</v>
      </c>
      <c r="G20" s="50" t="s">
        <v>106</v>
      </c>
      <c r="H20" s="49" t="s">
        <v>252</v>
      </c>
      <c r="I20" s="50" t="s">
        <v>209</v>
      </c>
      <c r="J20" s="50" t="s">
        <v>109</v>
      </c>
      <c r="K20" s="49" t="s">
        <v>316</v>
      </c>
      <c r="L20" s="50" t="s">
        <v>245</v>
      </c>
      <c r="M20" s="50" t="s">
        <v>317</v>
      </c>
      <c r="N20" s="49" t="s">
        <v>309</v>
      </c>
      <c r="O20" s="50" t="s">
        <v>309</v>
      </c>
      <c r="P20" s="50" t="s">
        <v>309</v>
      </c>
      <c r="Q20" s="49" t="s">
        <v>227</v>
      </c>
      <c r="R20" s="51" t="s">
        <v>318</v>
      </c>
      <c r="S20" s="52" t="s">
        <v>319</v>
      </c>
      <c r="T20" s="53" t="s">
        <v>320</v>
      </c>
      <c r="U20" s="50" t="s">
        <v>120</v>
      </c>
      <c r="V20" s="50" t="s">
        <v>160</v>
      </c>
    </row>
    <row r="21" ht="22.5" customHeight="1">
      <c r="A21" s="49">
        <v>20.0</v>
      </c>
      <c r="B21" s="50" t="s">
        <v>321</v>
      </c>
      <c r="C21" s="50" t="s">
        <v>322</v>
      </c>
      <c r="D21" s="50" t="s">
        <v>305</v>
      </c>
      <c r="E21" s="49" t="s">
        <v>105</v>
      </c>
      <c r="F21" s="50">
        <v>4.0</v>
      </c>
      <c r="G21" s="50" t="s">
        <v>106</v>
      </c>
      <c r="H21" s="49" t="s">
        <v>233</v>
      </c>
      <c r="I21" s="50" t="s">
        <v>323</v>
      </c>
      <c r="J21" s="50" t="s">
        <v>109</v>
      </c>
      <c r="K21" s="49" t="s">
        <v>324</v>
      </c>
      <c r="L21" s="50" t="s">
        <v>280</v>
      </c>
      <c r="M21" s="50" t="s">
        <v>325</v>
      </c>
      <c r="N21" s="49" t="s">
        <v>309</v>
      </c>
      <c r="O21" s="50" t="s">
        <v>309</v>
      </c>
      <c r="P21" s="50" t="s">
        <v>309</v>
      </c>
      <c r="Q21" s="49" t="s">
        <v>227</v>
      </c>
      <c r="R21" s="51" t="s">
        <v>326</v>
      </c>
      <c r="S21" s="52" t="s">
        <v>327</v>
      </c>
      <c r="T21" s="53" t="s">
        <v>328</v>
      </c>
      <c r="U21" s="50">
        <v>2.7</v>
      </c>
      <c r="V21" s="50" t="s">
        <v>121</v>
      </c>
    </row>
    <row r="22" ht="22.5" hidden="1" customHeight="1">
      <c r="A22" s="49">
        <v>21.0</v>
      </c>
      <c r="B22" s="50" t="s">
        <v>329</v>
      </c>
      <c r="C22" s="50" t="s">
        <v>206</v>
      </c>
      <c r="D22" s="50" t="s">
        <v>330</v>
      </c>
      <c r="E22" s="49" t="s">
        <v>331</v>
      </c>
      <c r="F22" s="50">
        <v>4.0</v>
      </c>
      <c r="G22" s="50" t="s">
        <v>106</v>
      </c>
      <c r="H22" s="49" t="s">
        <v>332</v>
      </c>
      <c r="I22" s="50" t="s">
        <v>333</v>
      </c>
      <c r="J22" s="50" t="s">
        <v>109</v>
      </c>
      <c r="K22" s="49" t="s">
        <v>334</v>
      </c>
      <c r="L22" s="50" t="s">
        <v>280</v>
      </c>
      <c r="M22" s="50" t="s">
        <v>335</v>
      </c>
      <c r="N22" s="49" t="s">
        <v>336</v>
      </c>
      <c r="O22" s="50" t="s">
        <v>337</v>
      </c>
      <c r="P22" s="50" t="s">
        <v>309</v>
      </c>
      <c r="Q22" s="49" t="s">
        <v>227</v>
      </c>
      <c r="R22" s="51" t="s">
        <v>338</v>
      </c>
      <c r="S22" s="52" t="s">
        <v>339</v>
      </c>
      <c r="T22" s="53" t="s">
        <v>340</v>
      </c>
      <c r="U22" s="50" t="s">
        <v>120</v>
      </c>
      <c r="V22" s="50" t="s">
        <v>121</v>
      </c>
    </row>
    <row r="23" ht="22.5" customHeight="1">
      <c r="A23" s="49">
        <v>22.0</v>
      </c>
      <c r="B23" s="50" t="s">
        <v>341</v>
      </c>
      <c r="C23" s="50" t="s">
        <v>342</v>
      </c>
      <c r="D23" s="50" t="s">
        <v>343</v>
      </c>
      <c r="E23" s="49" t="s">
        <v>105</v>
      </c>
      <c r="F23" s="50">
        <v>3.0</v>
      </c>
      <c r="G23" s="50" t="s">
        <v>106</v>
      </c>
      <c r="H23" s="49" t="s">
        <v>344</v>
      </c>
      <c r="I23" s="50" t="s">
        <v>332</v>
      </c>
      <c r="J23" s="50" t="s">
        <v>109</v>
      </c>
      <c r="K23" s="49" t="s">
        <v>345</v>
      </c>
      <c r="L23" s="50" t="s">
        <v>245</v>
      </c>
      <c r="M23" s="50" t="s">
        <v>346</v>
      </c>
      <c r="N23" s="49" t="s">
        <v>309</v>
      </c>
      <c r="O23" s="50" t="s">
        <v>309</v>
      </c>
      <c r="P23" s="50" t="s">
        <v>309</v>
      </c>
      <c r="Q23" s="49" t="s">
        <v>227</v>
      </c>
      <c r="R23" s="51" t="s">
        <v>347</v>
      </c>
      <c r="S23" s="52" t="s">
        <v>348</v>
      </c>
      <c r="T23" s="53" t="s">
        <v>349</v>
      </c>
      <c r="U23" s="50">
        <v>2.0</v>
      </c>
      <c r="V23" s="50" t="s">
        <v>160</v>
      </c>
    </row>
    <row r="24" ht="22.5" hidden="1" customHeight="1">
      <c r="A24" s="49">
        <v>23.0</v>
      </c>
      <c r="B24" s="50" t="s">
        <v>350</v>
      </c>
      <c r="C24" s="50" t="s">
        <v>351</v>
      </c>
      <c r="D24" s="50" t="s">
        <v>352</v>
      </c>
      <c r="E24" s="49" t="s">
        <v>105</v>
      </c>
      <c r="F24" s="50">
        <v>3.0</v>
      </c>
      <c r="G24" s="50" t="s">
        <v>276</v>
      </c>
      <c r="H24" s="49" t="s">
        <v>353</v>
      </c>
      <c r="I24" s="50" t="s">
        <v>354</v>
      </c>
      <c r="J24" s="50" t="s">
        <v>109</v>
      </c>
      <c r="K24" s="49" t="s">
        <v>355</v>
      </c>
      <c r="L24" s="50" t="s">
        <v>245</v>
      </c>
      <c r="M24" s="50" t="s">
        <v>356</v>
      </c>
      <c r="N24" s="49" t="s">
        <v>357</v>
      </c>
      <c r="O24" s="50" t="s">
        <v>337</v>
      </c>
      <c r="P24" s="50" t="s">
        <v>309</v>
      </c>
      <c r="Q24" s="49" t="s">
        <v>227</v>
      </c>
      <c r="R24" s="51" t="s">
        <v>358</v>
      </c>
      <c r="S24" s="52" t="s">
        <v>359</v>
      </c>
      <c r="T24" s="53" t="s">
        <v>360</v>
      </c>
      <c r="U24" s="50" t="s">
        <v>120</v>
      </c>
      <c r="V24" s="50" t="s">
        <v>121</v>
      </c>
    </row>
    <row r="25" ht="22.5" customHeight="1">
      <c r="A25" s="49">
        <v>24.0</v>
      </c>
      <c r="B25" s="50" t="s">
        <v>361</v>
      </c>
      <c r="C25" s="50" t="s">
        <v>362</v>
      </c>
      <c r="D25" s="50" t="s">
        <v>363</v>
      </c>
      <c r="E25" s="49" t="s">
        <v>125</v>
      </c>
      <c r="F25" s="50">
        <v>3.0</v>
      </c>
      <c r="G25" s="50" t="s">
        <v>364</v>
      </c>
      <c r="H25" s="49" t="s">
        <v>127</v>
      </c>
      <c r="I25" s="50" t="s">
        <v>365</v>
      </c>
      <c r="J25" s="50" t="s">
        <v>109</v>
      </c>
      <c r="K25" s="49" t="s">
        <v>366</v>
      </c>
      <c r="L25" s="50" t="s">
        <v>155</v>
      </c>
      <c r="M25" s="50" t="s">
        <v>155</v>
      </c>
      <c r="N25" s="49" t="s">
        <v>309</v>
      </c>
      <c r="O25" s="50" t="s">
        <v>309</v>
      </c>
      <c r="P25" s="50" t="s">
        <v>309</v>
      </c>
      <c r="Q25" s="49" t="s">
        <v>156</v>
      </c>
      <c r="R25" s="51" t="s">
        <v>367</v>
      </c>
      <c r="S25" s="52" t="s">
        <v>368</v>
      </c>
      <c r="T25" s="53" t="s">
        <v>369</v>
      </c>
      <c r="U25" s="50" t="s">
        <v>120</v>
      </c>
      <c r="V25" s="50" t="s">
        <v>121</v>
      </c>
    </row>
    <row r="26" ht="22.5" hidden="1" customHeight="1">
      <c r="A26" s="49">
        <v>25.0</v>
      </c>
      <c r="B26" s="50" t="s">
        <v>370</v>
      </c>
      <c r="C26" s="50" t="s">
        <v>371</v>
      </c>
      <c r="D26" s="50" t="s">
        <v>372</v>
      </c>
      <c r="E26" s="49" t="s">
        <v>373</v>
      </c>
      <c r="F26" s="50">
        <v>3.0</v>
      </c>
      <c r="G26" s="50" t="s">
        <v>276</v>
      </c>
      <c r="H26" s="49" t="s">
        <v>374</v>
      </c>
      <c r="I26" s="50" t="s">
        <v>375</v>
      </c>
      <c r="J26" s="50" t="s">
        <v>109</v>
      </c>
      <c r="K26" s="49" t="s">
        <v>345</v>
      </c>
      <c r="L26" s="50" t="s">
        <v>155</v>
      </c>
      <c r="M26" s="50" t="s">
        <v>155</v>
      </c>
      <c r="N26" s="54" t="s">
        <v>376</v>
      </c>
      <c r="O26" s="50" t="s">
        <v>309</v>
      </c>
      <c r="P26" s="50" t="s">
        <v>377</v>
      </c>
      <c r="Q26" s="49" t="s">
        <v>378</v>
      </c>
      <c r="R26" s="51" t="s">
        <v>379</v>
      </c>
      <c r="S26" s="52" t="s">
        <v>368</v>
      </c>
      <c r="T26" s="53" t="s">
        <v>380</v>
      </c>
      <c r="U26" s="50">
        <v>2.6</v>
      </c>
      <c r="V26" s="50" t="s">
        <v>121</v>
      </c>
    </row>
    <row r="27" ht="22.5" hidden="1" customHeight="1">
      <c r="A27" s="49">
        <v>26.0</v>
      </c>
      <c r="B27" s="50" t="s">
        <v>381</v>
      </c>
      <c r="C27" s="50" t="s">
        <v>382</v>
      </c>
      <c r="D27" s="50" t="s">
        <v>383</v>
      </c>
      <c r="E27" s="49" t="s">
        <v>105</v>
      </c>
      <c r="F27" s="50">
        <v>4.0</v>
      </c>
      <c r="G27" s="50" t="s">
        <v>364</v>
      </c>
      <c r="H27" s="49" t="s">
        <v>127</v>
      </c>
      <c r="I27" s="50" t="s">
        <v>288</v>
      </c>
      <c r="J27" s="50" t="s">
        <v>384</v>
      </c>
      <c r="K27" s="49" t="s">
        <v>385</v>
      </c>
      <c r="L27" s="50" t="s">
        <v>280</v>
      </c>
      <c r="M27" s="50" t="s">
        <v>386</v>
      </c>
      <c r="N27" s="49" t="s">
        <v>309</v>
      </c>
      <c r="O27" s="50" t="s">
        <v>309</v>
      </c>
      <c r="P27" s="50" t="s">
        <v>311</v>
      </c>
      <c r="Q27" s="49" t="s">
        <v>156</v>
      </c>
      <c r="R27" s="51" t="s">
        <v>387</v>
      </c>
      <c r="S27" s="52" t="s">
        <v>388</v>
      </c>
      <c r="T27" s="53" t="s">
        <v>389</v>
      </c>
      <c r="U27" s="50">
        <v>2.8</v>
      </c>
      <c r="V27" s="50" t="s">
        <v>160</v>
      </c>
    </row>
    <row r="28" ht="22.5" customHeight="1">
      <c r="A28" s="49">
        <v>27.0</v>
      </c>
      <c r="B28" s="50" t="s">
        <v>390</v>
      </c>
      <c r="C28" s="50" t="s">
        <v>391</v>
      </c>
      <c r="D28" s="50" t="s">
        <v>392</v>
      </c>
      <c r="E28" s="49" t="s">
        <v>105</v>
      </c>
      <c r="F28" s="50">
        <v>3.0</v>
      </c>
      <c r="G28" s="50" t="s">
        <v>106</v>
      </c>
      <c r="H28" s="49" t="s">
        <v>393</v>
      </c>
      <c r="I28" s="50" t="s">
        <v>394</v>
      </c>
      <c r="J28" s="50" t="s">
        <v>109</v>
      </c>
      <c r="K28" s="49" t="s">
        <v>395</v>
      </c>
      <c r="L28" s="50" t="s">
        <v>280</v>
      </c>
      <c r="M28" s="50" t="s">
        <v>396</v>
      </c>
      <c r="N28" s="49" t="s">
        <v>357</v>
      </c>
      <c r="O28" s="50" t="s">
        <v>309</v>
      </c>
      <c r="P28" s="50" t="s">
        <v>309</v>
      </c>
      <c r="Q28" s="49" t="s">
        <v>378</v>
      </c>
      <c r="R28" s="51" t="s">
        <v>397</v>
      </c>
      <c r="S28" s="52" t="s">
        <v>398</v>
      </c>
      <c r="T28" s="53" t="s">
        <v>399</v>
      </c>
      <c r="U28" s="50">
        <v>2.5</v>
      </c>
      <c r="V28" s="50" t="s">
        <v>160</v>
      </c>
    </row>
    <row r="29" ht="22.5" customHeight="1">
      <c r="A29" s="49">
        <v>28.0</v>
      </c>
      <c r="B29" s="50" t="s">
        <v>400</v>
      </c>
      <c r="C29" s="50" t="s">
        <v>401</v>
      </c>
      <c r="D29" s="50" t="s">
        <v>402</v>
      </c>
      <c r="E29" s="49" t="s">
        <v>125</v>
      </c>
      <c r="F29" s="50">
        <v>3.0</v>
      </c>
      <c r="G29" s="50" t="s">
        <v>364</v>
      </c>
      <c r="H29" s="49" t="s">
        <v>403</v>
      </c>
      <c r="I29" s="50" t="s">
        <v>404</v>
      </c>
      <c r="J29" s="50" t="s">
        <v>109</v>
      </c>
      <c r="K29" s="49" t="s">
        <v>405</v>
      </c>
      <c r="L29" s="50" t="s">
        <v>336</v>
      </c>
      <c r="M29" s="50" t="s">
        <v>396</v>
      </c>
      <c r="N29" s="49" t="s">
        <v>406</v>
      </c>
      <c r="O29" s="50" t="s">
        <v>309</v>
      </c>
      <c r="P29" s="50" t="s">
        <v>309</v>
      </c>
      <c r="Q29" s="49" t="s">
        <v>378</v>
      </c>
      <c r="R29" s="51" t="s">
        <v>407</v>
      </c>
      <c r="S29" s="52" t="s">
        <v>408</v>
      </c>
      <c r="T29" s="53" t="s">
        <v>409</v>
      </c>
      <c r="U29" s="50" t="s">
        <v>120</v>
      </c>
      <c r="V29" s="50" t="s">
        <v>160</v>
      </c>
    </row>
    <row r="30" ht="22.5" customHeight="1">
      <c r="A30" s="49">
        <v>29.0</v>
      </c>
      <c r="B30" s="50" t="s">
        <v>410</v>
      </c>
      <c r="C30" s="50" t="s">
        <v>411</v>
      </c>
      <c r="D30" s="50" t="s">
        <v>412</v>
      </c>
      <c r="E30" s="49" t="s">
        <v>105</v>
      </c>
      <c r="F30" s="50">
        <v>4.0</v>
      </c>
      <c r="G30" s="50" t="s">
        <v>106</v>
      </c>
      <c r="H30" s="49" t="s">
        <v>413</v>
      </c>
      <c r="I30" s="50" t="s">
        <v>234</v>
      </c>
      <c r="J30" s="50" t="s">
        <v>109</v>
      </c>
      <c r="K30" s="49" t="s">
        <v>324</v>
      </c>
      <c r="L30" s="50" t="s">
        <v>280</v>
      </c>
      <c r="M30" s="50" t="s">
        <v>414</v>
      </c>
      <c r="N30" s="49" t="s">
        <v>309</v>
      </c>
      <c r="O30" s="50" t="s">
        <v>309</v>
      </c>
      <c r="P30" s="50" t="s">
        <v>309</v>
      </c>
      <c r="Q30" s="49" t="s">
        <v>227</v>
      </c>
      <c r="R30" s="51" t="s">
        <v>415</v>
      </c>
      <c r="S30" s="52" t="s">
        <v>416</v>
      </c>
      <c r="T30" s="53" t="s">
        <v>417</v>
      </c>
      <c r="U30" s="50">
        <v>2.5</v>
      </c>
      <c r="V30" s="50" t="s">
        <v>160</v>
      </c>
    </row>
    <row r="31" ht="22.5" customHeight="1">
      <c r="A31" s="49">
        <v>30.0</v>
      </c>
      <c r="B31" s="50" t="s">
        <v>418</v>
      </c>
      <c r="C31" s="50" t="s">
        <v>419</v>
      </c>
      <c r="D31" s="50" t="s">
        <v>420</v>
      </c>
      <c r="E31" s="49" t="s">
        <v>105</v>
      </c>
      <c r="F31" s="50">
        <v>4.0</v>
      </c>
      <c r="G31" s="50" t="s">
        <v>106</v>
      </c>
      <c r="H31" s="49" t="s">
        <v>233</v>
      </c>
      <c r="I31" s="50" t="s">
        <v>234</v>
      </c>
      <c r="J31" s="50" t="s">
        <v>109</v>
      </c>
      <c r="K31" s="49" t="s">
        <v>226</v>
      </c>
      <c r="L31" s="50" t="s">
        <v>356</v>
      </c>
      <c r="M31" s="50" t="s">
        <v>421</v>
      </c>
      <c r="N31" s="49" t="s">
        <v>309</v>
      </c>
      <c r="O31" s="50" t="s">
        <v>309</v>
      </c>
      <c r="P31" s="50" t="s">
        <v>309</v>
      </c>
      <c r="Q31" s="49" t="s">
        <v>227</v>
      </c>
      <c r="R31" s="51" t="s">
        <v>422</v>
      </c>
      <c r="S31" s="52" t="s">
        <v>423</v>
      </c>
      <c r="T31" s="53" t="s">
        <v>424</v>
      </c>
      <c r="U31" s="50" t="s">
        <v>120</v>
      </c>
      <c r="V31" s="50" t="s">
        <v>121</v>
      </c>
    </row>
    <row r="32" ht="22.5" customHeight="1">
      <c r="A32" s="49">
        <v>31.0</v>
      </c>
      <c r="B32" s="50" t="s">
        <v>425</v>
      </c>
      <c r="C32" s="50" t="s">
        <v>426</v>
      </c>
      <c r="D32" s="50" t="s">
        <v>427</v>
      </c>
      <c r="E32" s="49" t="s">
        <v>105</v>
      </c>
      <c r="F32" s="50">
        <v>4.0</v>
      </c>
      <c r="G32" s="50" t="s">
        <v>364</v>
      </c>
      <c r="H32" s="49" t="s">
        <v>428</v>
      </c>
      <c r="I32" s="50" t="s">
        <v>429</v>
      </c>
      <c r="J32" s="50" t="s">
        <v>109</v>
      </c>
      <c r="K32" s="49" t="s">
        <v>430</v>
      </c>
      <c r="L32" s="50" t="s">
        <v>356</v>
      </c>
      <c r="M32" s="50" t="s">
        <v>356</v>
      </c>
      <c r="N32" s="49" t="s">
        <v>406</v>
      </c>
      <c r="O32" s="50" t="s">
        <v>309</v>
      </c>
      <c r="P32" s="50" t="s">
        <v>309</v>
      </c>
      <c r="Q32" s="49" t="s">
        <v>227</v>
      </c>
      <c r="R32" s="51" t="s">
        <v>431</v>
      </c>
      <c r="S32" s="52" t="s">
        <v>432</v>
      </c>
      <c r="T32" s="53" t="s">
        <v>433</v>
      </c>
      <c r="U32" s="50" t="s">
        <v>120</v>
      </c>
      <c r="V32" s="50" t="s">
        <v>121</v>
      </c>
    </row>
    <row r="33" ht="22.5" customHeight="1">
      <c r="A33" s="49">
        <v>32.0</v>
      </c>
      <c r="B33" s="50" t="s">
        <v>434</v>
      </c>
      <c r="C33" s="50" t="s">
        <v>435</v>
      </c>
      <c r="D33" s="50" t="s">
        <v>436</v>
      </c>
      <c r="E33" s="49" t="s">
        <v>105</v>
      </c>
      <c r="F33" s="50">
        <v>3.0</v>
      </c>
      <c r="G33" s="50" t="s">
        <v>364</v>
      </c>
      <c r="H33" s="49" t="s">
        <v>437</v>
      </c>
      <c r="I33" s="50" t="s">
        <v>288</v>
      </c>
      <c r="J33" s="50" t="s">
        <v>109</v>
      </c>
      <c r="K33" s="49" t="s">
        <v>438</v>
      </c>
      <c r="L33" s="50" t="s">
        <v>280</v>
      </c>
      <c r="M33" s="50" t="s">
        <v>356</v>
      </c>
      <c r="N33" s="49" t="s">
        <v>357</v>
      </c>
      <c r="O33" s="50" t="s">
        <v>309</v>
      </c>
      <c r="P33" s="50" t="s">
        <v>309</v>
      </c>
      <c r="Q33" s="49" t="s">
        <v>378</v>
      </c>
      <c r="R33" s="51" t="s">
        <v>439</v>
      </c>
      <c r="S33" s="52" t="s">
        <v>440</v>
      </c>
      <c r="T33" s="53" t="s">
        <v>441</v>
      </c>
      <c r="U33" s="50" t="s">
        <v>120</v>
      </c>
      <c r="V33" s="50" t="s">
        <v>121</v>
      </c>
    </row>
    <row r="34" ht="22.5" hidden="1" customHeight="1">
      <c r="A34" s="49">
        <v>33.0</v>
      </c>
      <c r="B34" s="50" t="s">
        <v>442</v>
      </c>
      <c r="C34" s="50" t="s">
        <v>443</v>
      </c>
      <c r="D34" s="50" t="s">
        <v>444</v>
      </c>
      <c r="E34" s="49" t="s">
        <v>105</v>
      </c>
      <c r="F34" s="50">
        <v>4.0</v>
      </c>
      <c r="G34" s="50" t="s">
        <v>364</v>
      </c>
      <c r="H34" s="49" t="s">
        <v>445</v>
      </c>
      <c r="I34" s="50" t="s">
        <v>446</v>
      </c>
      <c r="J34" s="50" t="s">
        <v>447</v>
      </c>
      <c r="K34" s="49" t="s">
        <v>448</v>
      </c>
      <c r="L34" s="50" t="s">
        <v>245</v>
      </c>
      <c r="M34" s="50" t="s">
        <v>356</v>
      </c>
      <c r="N34" s="49" t="s">
        <v>357</v>
      </c>
      <c r="O34" s="50" t="s">
        <v>309</v>
      </c>
      <c r="P34" s="50" t="s">
        <v>311</v>
      </c>
      <c r="Q34" s="49" t="s">
        <v>227</v>
      </c>
      <c r="R34" s="51" t="s">
        <v>449</v>
      </c>
      <c r="S34" s="52" t="s">
        <v>450</v>
      </c>
      <c r="T34" s="53" t="s">
        <v>451</v>
      </c>
      <c r="U34" s="50" t="s">
        <v>120</v>
      </c>
      <c r="V34" s="50" t="s">
        <v>121</v>
      </c>
    </row>
    <row r="35" ht="22.5" customHeight="1">
      <c r="A35" s="49">
        <v>34.0</v>
      </c>
      <c r="B35" s="50" t="s">
        <v>261</v>
      </c>
      <c r="C35" s="50" t="s">
        <v>262</v>
      </c>
      <c r="D35" s="50" t="s">
        <v>452</v>
      </c>
      <c r="E35" s="49" t="s">
        <v>105</v>
      </c>
      <c r="F35" s="50">
        <v>4.0</v>
      </c>
      <c r="G35" s="50" t="s">
        <v>106</v>
      </c>
      <c r="H35" s="49" t="s">
        <v>453</v>
      </c>
      <c r="I35" s="50" t="s">
        <v>454</v>
      </c>
      <c r="J35" s="50" t="s">
        <v>109</v>
      </c>
      <c r="K35" s="49" t="s">
        <v>267</v>
      </c>
      <c r="L35" s="50" t="s">
        <v>255</v>
      </c>
      <c r="M35" s="50" t="s">
        <v>455</v>
      </c>
      <c r="N35" s="49" t="s">
        <v>456</v>
      </c>
      <c r="O35" s="50" t="s">
        <v>115</v>
      </c>
      <c r="P35" s="50" t="s">
        <v>115</v>
      </c>
      <c r="Q35" s="49" t="s">
        <v>156</v>
      </c>
      <c r="R35" s="51" t="s">
        <v>457</v>
      </c>
      <c r="S35" s="52" t="s">
        <v>458</v>
      </c>
      <c r="T35" s="53" t="s">
        <v>459</v>
      </c>
      <c r="U35" s="50" t="s">
        <v>120</v>
      </c>
      <c r="V35" s="50" t="s">
        <v>121</v>
      </c>
    </row>
    <row r="36" ht="22.5" hidden="1" customHeight="1">
      <c r="A36" s="49">
        <v>35.0</v>
      </c>
      <c r="B36" s="50" t="s">
        <v>418</v>
      </c>
      <c r="C36" s="50" t="s">
        <v>419</v>
      </c>
      <c r="D36" s="50" t="s">
        <v>460</v>
      </c>
      <c r="E36" s="49" t="s">
        <v>105</v>
      </c>
      <c r="F36" s="50">
        <v>4.0</v>
      </c>
      <c r="G36" s="50" t="s">
        <v>106</v>
      </c>
      <c r="H36" s="49" t="s">
        <v>461</v>
      </c>
      <c r="I36" s="50" t="s">
        <v>462</v>
      </c>
      <c r="J36" s="50" t="s">
        <v>109</v>
      </c>
      <c r="K36" s="49" t="s">
        <v>254</v>
      </c>
      <c r="L36" s="50" t="s">
        <v>245</v>
      </c>
      <c r="M36" s="50" t="s">
        <v>463</v>
      </c>
      <c r="N36" s="49" t="s">
        <v>115</v>
      </c>
      <c r="O36" s="50" t="s">
        <v>464</v>
      </c>
      <c r="P36" s="50" t="s">
        <v>115</v>
      </c>
      <c r="Q36" s="49" t="s">
        <v>227</v>
      </c>
      <c r="R36" s="51" t="s">
        <v>465</v>
      </c>
      <c r="S36" s="52" t="s">
        <v>466</v>
      </c>
      <c r="T36" s="53" t="s">
        <v>467</v>
      </c>
      <c r="U36" s="50">
        <v>1.9</v>
      </c>
      <c r="V36" s="50" t="s">
        <v>160</v>
      </c>
    </row>
    <row r="37" ht="22.5" hidden="1" customHeight="1">
      <c r="A37" s="49">
        <v>36.0</v>
      </c>
      <c r="B37" s="50" t="s">
        <v>205</v>
      </c>
      <c r="C37" s="50" t="s">
        <v>206</v>
      </c>
      <c r="D37" s="50" t="s">
        <v>468</v>
      </c>
      <c r="E37" s="49" t="s">
        <v>105</v>
      </c>
      <c r="F37" s="50">
        <v>4.0</v>
      </c>
      <c r="G37" s="50" t="s">
        <v>106</v>
      </c>
      <c r="H37" s="49" t="s">
        <v>469</v>
      </c>
      <c r="I37" s="50" t="s">
        <v>209</v>
      </c>
      <c r="J37" s="50" t="s">
        <v>470</v>
      </c>
      <c r="K37" s="49" t="s">
        <v>254</v>
      </c>
      <c r="L37" s="50" t="s">
        <v>255</v>
      </c>
      <c r="M37" s="50" t="s">
        <v>471</v>
      </c>
      <c r="N37" s="49" t="s">
        <v>115</v>
      </c>
      <c r="O37" s="50" t="s">
        <v>472</v>
      </c>
      <c r="P37" s="50" t="s">
        <v>311</v>
      </c>
      <c r="Q37" s="49" t="s">
        <v>227</v>
      </c>
      <c r="R37" s="51" t="s">
        <v>473</v>
      </c>
      <c r="S37" s="52" t="s">
        <v>474</v>
      </c>
      <c r="T37" s="53" t="s">
        <v>475</v>
      </c>
      <c r="U37" s="50" t="s">
        <v>120</v>
      </c>
      <c r="V37" s="50" t="s">
        <v>121</v>
      </c>
    </row>
    <row r="38" ht="22.5" customHeight="1">
      <c r="A38" s="49">
        <v>37.0</v>
      </c>
      <c r="B38" s="50" t="s">
        <v>230</v>
      </c>
      <c r="C38" s="50" t="s">
        <v>231</v>
      </c>
      <c r="D38" s="50" t="s">
        <v>476</v>
      </c>
      <c r="E38" s="49" t="s">
        <v>105</v>
      </c>
      <c r="F38" s="50">
        <v>4.0</v>
      </c>
      <c r="G38" s="50" t="s">
        <v>106</v>
      </c>
      <c r="H38" s="49" t="s">
        <v>477</v>
      </c>
      <c r="I38" s="50" t="s">
        <v>478</v>
      </c>
      <c r="J38" s="50" t="s">
        <v>109</v>
      </c>
      <c r="K38" s="49" t="s">
        <v>479</v>
      </c>
      <c r="L38" s="50" t="s">
        <v>480</v>
      </c>
      <c r="M38" s="50" t="s">
        <v>481</v>
      </c>
      <c r="N38" s="49" t="s">
        <v>115</v>
      </c>
      <c r="O38" s="50" t="s">
        <v>115</v>
      </c>
      <c r="P38" s="50" t="s">
        <v>115</v>
      </c>
      <c r="Q38" s="49" t="s">
        <v>156</v>
      </c>
      <c r="R38" s="51" t="s">
        <v>482</v>
      </c>
      <c r="S38" s="52" t="s">
        <v>158</v>
      </c>
      <c r="T38" s="53" t="s">
        <v>483</v>
      </c>
      <c r="U38" s="50">
        <v>2.5</v>
      </c>
      <c r="V38" s="50" t="s">
        <v>160</v>
      </c>
    </row>
    <row r="39" ht="22.5" hidden="1" customHeight="1">
      <c r="A39" s="49">
        <v>38.0</v>
      </c>
      <c r="B39" s="50" t="s">
        <v>250</v>
      </c>
      <c r="C39" s="50" t="s">
        <v>206</v>
      </c>
      <c r="D39" s="50" t="s">
        <v>484</v>
      </c>
      <c r="E39" s="49" t="s">
        <v>105</v>
      </c>
      <c r="F39" s="50">
        <v>4.0</v>
      </c>
      <c r="G39" s="50" t="s">
        <v>106</v>
      </c>
      <c r="H39" s="49" t="s">
        <v>233</v>
      </c>
      <c r="I39" s="50" t="s">
        <v>253</v>
      </c>
      <c r="J39" s="50" t="s">
        <v>297</v>
      </c>
      <c r="K39" s="49" t="s">
        <v>254</v>
      </c>
      <c r="L39" s="50" t="s">
        <v>245</v>
      </c>
      <c r="M39" s="50" t="s">
        <v>485</v>
      </c>
      <c r="N39" s="49" t="s">
        <v>115</v>
      </c>
      <c r="O39" s="50" t="s">
        <v>486</v>
      </c>
      <c r="P39" s="50" t="s">
        <v>115</v>
      </c>
      <c r="Q39" s="49" t="s">
        <v>227</v>
      </c>
      <c r="R39" s="51" t="s">
        <v>487</v>
      </c>
      <c r="S39" s="52" t="s">
        <v>488</v>
      </c>
      <c r="T39" s="53" t="s">
        <v>489</v>
      </c>
      <c r="U39" s="50" t="s">
        <v>120</v>
      </c>
      <c r="V39" s="50" t="s">
        <v>121</v>
      </c>
    </row>
    <row r="40" ht="22.5" hidden="1" customHeight="1">
      <c r="A40" s="49">
        <v>39.0</v>
      </c>
      <c r="B40" s="50" t="s">
        <v>490</v>
      </c>
      <c r="C40" s="50" t="s">
        <v>193</v>
      </c>
      <c r="D40" s="50" t="s">
        <v>491</v>
      </c>
      <c r="E40" s="49" t="s">
        <v>105</v>
      </c>
      <c r="F40" s="50">
        <v>3.0</v>
      </c>
      <c r="G40" s="50" t="s">
        <v>126</v>
      </c>
      <c r="H40" s="49" t="s">
        <v>492</v>
      </c>
      <c r="I40" s="50" t="s">
        <v>404</v>
      </c>
      <c r="J40" s="50" t="s">
        <v>109</v>
      </c>
      <c r="K40" s="49" t="s">
        <v>493</v>
      </c>
      <c r="L40" s="50" t="s">
        <v>255</v>
      </c>
      <c r="M40" s="50" t="s">
        <v>494</v>
      </c>
      <c r="N40" s="49" t="s">
        <v>357</v>
      </c>
      <c r="O40" s="50" t="s">
        <v>377</v>
      </c>
      <c r="P40" s="50" t="s">
        <v>115</v>
      </c>
      <c r="Q40" s="49" t="s">
        <v>282</v>
      </c>
      <c r="R40" s="51" t="s">
        <v>495</v>
      </c>
      <c r="S40" s="52" t="s">
        <v>496</v>
      </c>
      <c r="T40" s="53" t="s">
        <v>497</v>
      </c>
      <c r="U40" s="50" t="s">
        <v>120</v>
      </c>
      <c r="V40" s="50" t="s">
        <v>121</v>
      </c>
    </row>
    <row r="41" ht="22.5" customHeight="1">
      <c r="A41" s="49">
        <v>40.0</v>
      </c>
      <c r="B41" s="50" t="s">
        <v>161</v>
      </c>
      <c r="C41" s="50" t="s">
        <v>162</v>
      </c>
      <c r="D41" s="50" t="s">
        <v>498</v>
      </c>
      <c r="E41" s="49" t="s">
        <v>105</v>
      </c>
      <c r="F41" s="50">
        <v>4.0</v>
      </c>
      <c r="G41" s="50" t="s">
        <v>106</v>
      </c>
      <c r="H41" s="49" t="s">
        <v>499</v>
      </c>
      <c r="I41" s="50" t="s">
        <v>413</v>
      </c>
      <c r="J41" s="50" t="s">
        <v>297</v>
      </c>
      <c r="K41" s="49" t="s">
        <v>500</v>
      </c>
      <c r="L41" s="50" t="s">
        <v>356</v>
      </c>
      <c r="M41" s="50" t="s">
        <v>501</v>
      </c>
      <c r="N41" s="49" t="s">
        <v>115</v>
      </c>
      <c r="O41" s="50" t="s">
        <v>115</v>
      </c>
      <c r="P41" s="50" t="s">
        <v>115</v>
      </c>
      <c r="Q41" s="49" t="s">
        <v>502</v>
      </c>
      <c r="R41" s="51" t="s">
        <v>503</v>
      </c>
      <c r="S41" s="52" t="s">
        <v>504</v>
      </c>
      <c r="T41" s="53" t="s">
        <v>505</v>
      </c>
      <c r="U41" s="50">
        <v>2.5</v>
      </c>
      <c r="V41" s="50" t="s">
        <v>160</v>
      </c>
    </row>
    <row r="42" ht="22.5" hidden="1" customHeight="1">
      <c r="A42" s="49">
        <v>41.0</v>
      </c>
      <c r="B42" s="50" t="s">
        <v>506</v>
      </c>
      <c r="C42" s="50" t="s">
        <v>507</v>
      </c>
      <c r="D42" s="50" t="s">
        <v>508</v>
      </c>
      <c r="E42" s="49" t="s">
        <v>105</v>
      </c>
      <c r="F42" s="50">
        <v>4.0</v>
      </c>
      <c r="G42" s="50" t="s">
        <v>126</v>
      </c>
      <c r="H42" s="49" t="s">
        <v>509</v>
      </c>
      <c r="I42" s="50" t="s">
        <v>296</v>
      </c>
      <c r="J42" s="50" t="s">
        <v>109</v>
      </c>
      <c r="K42" s="49" t="s">
        <v>510</v>
      </c>
      <c r="L42" s="50" t="s">
        <v>245</v>
      </c>
      <c r="M42" s="50" t="s">
        <v>511</v>
      </c>
      <c r="N42" s="49" t="s">
        <v>115</v>
      </c>
      <c r="O42" s="50" t="s">
        <v>512</v>
      </c>
      <c r="P42" s="50" t="s">
        <v>115</v>
      </c>
      <c r="Q42" s="49" t="s">
        <v>282</v>
      </c>
      <c r="R42" s="51" t="s">
        <v>513</v>
      </c>
      <c r="S42" s="52" t="s">
        <v>514</v>
      </c>
      <c r="T42" s="53" t="s">
        <v>515</v>
      </c>
      <c r="U42" s="50" t="s">
        <v>120</v>
      </c>
      <c r="V42" s="50" t="s">
        <v>160</v>
      </c>
    </row>
    <row r="43" ht="22.5" hidden="1" customHeight="1">
      <c r="A43" s="49">
        <v>42.0</v>
      </c>
      <c r="B43" s="50" t="s">
        <v>516</v>
      </c>
      <c r="C43" s="50" t="s">
        <v>517</v>
      </c>
      <c r="D43" s="50" t="s">
        <v>518</v>
      </c>
      <c r="E43" s="49" t="s">
        <v>105</v>
      </c>
      <c r="F43" s="50">
        <v>4.0</v>
      </c>
      <c r="G43" s="50" t="s">
        <v>106</v>
      </c>
      <c r="H43" s="49" t="s">
        <v>461</v>
      </c>
      <c r="I43" s="50" t="s">
        <v>462</v>
      </c>
      <c r="J43" s="50" t="s">
        <v>243</v>
      </c>
      <c r="K43" s="49" t="s">
        <v>307</v>
      </c>
      <c r="L43" s="50" t="s">
        <v>245</v>
      </c>
      <c r="M43" s="50" t="s">
        <v>511</v>
      </c>
      <c r="N43" s="49" t="s">
        <v>115</v>
      </c>
      <c r="O43" s="50" t="s">
        <v>115</v>
      </c>
      <c r="P43" s="50" t="s">
        <v>115</v>
      </c>
      <c r="Q43" s="49" t="s">
        <v>227</v>
      </c>
      <c r="R43" s="51" t="s">
        <v>519</v>
      </c>
      <c r="S43" s="52" t="s">
        <v>520</v>
      </c>
      <c r="T43" s="53" t="s">
        <v>521</v>
      </c>
      <c r="U43" s="50" t="s">
        <v>120</v>
      </c>
      <c r="V43" s="50" t="s">
        <v>121</v>
      </c>
    </row>
    <row r="44" ht="22.5" hidden="1" customHeight="1">
      <c r="A44" s="49">
        <v>43.0</v>
      </c>
      <c r="B44" s="50" t="s">
        <v>522</v>
      </c>
      <c r="C44" s="50" t="s">
        <v>523</v>
      </c>
      <c r="D44" s="50" t="s">
        <v>524</v>
      </c>
      <c r="E44" s="49" t="s">
        <v>525</v>
      </c>
      <c r="F44" s="50">
        <v>4.0</v>
      </c>
      <c r="G44" s="50" t="s">
        <v>126</v>
      </c>
      <c r="H44" s="49" t="s">
        <v>509</v>
      </c>
      <c r="I44" s="50" t="s">
        <v>296</v>
      </c>
      <c r="J44" s="50" t="s">
        <v>109</v>
      </c>
      <c r="K44" s="49" t="s">
        <v>526</v>
      </c>
      <c r="L44" s="50" t="s">
        <v>245</v>
      </c>
      <c r="M44" s="50" t="s">
        <v>527</v>
      </c>
      <c r="N44" s="49" t="s">
        <v>528</v>
      </c>
      <c r="O44" s="50" t="s">
        <v>115</v>
      </c>
      <c r="P44" s="50" t="s">
        <v>115</v>
      </c>
      <c r="Q44" s="49" t="s">
        <v>156</v>
      </c>
      <c r="R44" s="51" t="s">
        <v>529</v>
      </c>
      <c r="S44" s="52" t="s">
        <v>530</v>
      </c>
      <c r="T44" s="53" t="s">
        <v>531</v>
      </c>
      <c r="U44" s="50">
        <v>3.0</v>
      </c>
      <c r="V44" s="50" t="s">
        <v>121</v>
      </c>
    </row>
    <row r="45" ht="22.5" hidden="1" customHeight="1">
      <c r="A45" s="49">
        <v>44.0</v>
      </c>
      <c r="B45" s="50" t="s">
        <v>250</v>
      </c>
      <c r="C45" s="50" t="s">
        <v>206</v>
      </c>
      <c r="D45" s="50" t="s">
        <v>532</v>
      </c>
      <c r="E45" s="49" t="s">
        <v>105</v>
      </c>
      <c r="F45" s="50">
        <v>4.0</v>
      </c>
      <c r="G45" s="50" t="s">
        <v>126</v>
      </c>
      <c r="H45" s="49" t="s">
        <v>533</v>
      </c>
      <c r="I45" s="50" t="s">
        <v>534</v>
      </c>
      <c r="J45" s="50" t="s">
        <v>109</v>
      </c>
      <c r="K45" s="49" t="s">
        <v>535</v>
      </c>
      <c r="L45" s="50" t="s">
        <v>245</v>
      </c>
      <c r="M45" s="50" t="s">
        <v>527</v>
      </c>
      <c r="N45" s="49" t="s">
        <v>377</v>
      </c>
      <c r="O45" s="50" t="s">
        <v>377</v>
      </c>
      <c r="P45" s="50" t="s">
        <v>115</v>
      </c>
      <c r="Q45" s="49" t="s">
        <v>227</v>
      </c>
      <c r="R45" s="51" t="s">
        <v>536</v>
      </c>
      <c r="S45" s="52" t="s">
        <v>537</v>
      </c>
      <c r="T45" s="53" t="s">
        <v>538</v>
      </c>
      <c r="U45" s="50" t="s">
        <v>120</v>
      </c>
      <c r="V45" s="50" t="s">
        <v>121</v>
      </c>
    </row>
    <row r="46" ht="22.5" customHeight="1">
      <c r="A46" s="49">
        <v>45.0</v>
      </c>
      <c r="B46" s="50" t="s">
        <v>102</v>
      </c>
      <c r="C46" s="50" t="s">
        <v>103</v>
      </c>
      <c r="D46" s="50" t="s">
        <v>539</v>
      </c>
      <c r="E46" s="49" t="s">
        <v>105</v>
      </c>
      <c r="F46" s="50">
        <v>3.0</v>
      </c>
      <c r="G46" s="50" t="s">
        <v>126</v>
      </c>
      <c r="H46" s="49" t="s">
        <v>540</v>
      </c>
      <c r="I46" s="50" t="s">
        <v>541</v>
      </c>
      <c r="J46" s="50" t="s">
        <v>109</v>
      </c>
      <c r="K46" s="49" t="s">
        <v>110</v>
      </c>
      <c r="L46" s="50" t="s">
        <v>245</v>
      </c>
      <c r="M46" s="50" t="s">
        <v>471</v>
      </c>
      <c r="N46" s="49" t="s">
        <v>115</v>
      </c>
      <c r="O46" s="50" t="s">
        <v>115</v>
      </c>
      <c r="P46" s="50" t="s">
        <v>115</v>
      </c>
      <c r="Q46" s="49" t="s">
        <v>227</v>
      </c>
      <c r="R46" s="51" t="s">
        <v>542</v>
      </c>
      <c r="S46" s="52" t="s">
        <v>543</v>
      </c>
      <c r="T46" s="53" t="s">
        <v>544</v>
      </c>
      <c r="U46" s="50" t="s">
        <v>120</v>
      </c>
      <c r="V46" s="50" t="s">
        <v>121</v>
      </c>
    </row>
    <row r="47" ht="22.5" customHeight="1">
      <c r="A47" s="49">
        <v>46.0</v>
      </c>
      <c r="B47" s="50" t="s">
        <v>545</v>
      </c>
      <c r="C47" s="50" t="s">
        <v>546</v>
      </c>
      <c r="D47" s="50" t="s">
        <v>547</v>
      </c>
      <c r="E47" s="49" t="s">
        <v>105</v>
      </c>
      <c r="F47" s="50">
        <v>4.0</v>
      </c>
      <c r="G47" s="50" t="s">
        <v>126</v>
      </c>
      <c r="H47" s="49" t="s">
        <v>533</v>
      </c>
      <c r="I47" s="50" t="s">
        <v>404</v>
      </c>
      <c r="J47" s="50" t="s">
        <v>109</v>
      </c>
      <c r="K47" s="49" t="s">
        <v>548</v>
      </c>
      <c r="L47" s="50" t="s">
        <v>245</v>
      </c>
      <c r="M47" s="50" t="s">
        <v>549</v>
      </c>
      <c r="N47" s="49" t="s">
        <v>115</v>
      </c>
      <c r="O47" s="50" t="s">
        <v>115</v>
      </c>
      <c r="P47" s="50" t="s">
        <v>115</v>
      </c>
      <c r="Q47" s="49" t="s">
        <v>227</v>
      </c>
      <c r="R47" s="51" t="s">
        <v>550</v>
      </c>
      <c r="S47" s="52" t="s">
        <v>543</v>
      </c>
      <c r="T47" s="53" t="s">
        <v>551</v>
      </c>
      <c r="U47" s="50" t="s">
        <v>120</v>
      </c>
      <c r="V47" s="50" t="s">
        <v>121</v>
      </c>
    </row>
    <row r="48" ht="22.5" customHeight="1">
      <c r="A48" s="49">
        <v>47.0</v>
      </c>
      <c r="B48" s="50" t="s">
        <v>250</v>
      </c>
      <c r="C48" s="50" t="s">
        <v>206</v>
      </c>
      <c r="D48" s="50" t="s">
        <v>552</v>
      </c>
      <c r="E48" s="49" t="s">
        <v>105</v>
      </c>
      <c r="F48" s="50">
        <v>4.0</v>
      </c>
      <c r="G48" s="50" t="s">
        <v>196</v>
      </c>
      <c r="H48" s="49" t="s">
        <v>477</v>
      </c>
      <c r="I48" s="50" t="s">
        <v>553</v>
      </c>
      <c r="J48" s="50" t="s">
        <v>109</v>
      </c>
      <c r="K48" s="49" t="s">
        <v>316</v>
      </c>
      <c r="L48" s="50" t="s">
        <v>245</v>
      </c>
      <c r="M48" s="50" t="s">
        <v>554</v>
      </c>
      <c r="N48" s="49" t="s">
        <v>115</v>
      </c>
      <c r="O48" s="50" t="s">
        <v>115</v>
      </c>
      <c r="P48" s="50" t="s">
        <v>115</v>
      </c>
      <c r="Q48" s="49" t="s">
        <v>227</v>
      </c>
      <c r="R48" s="51" t="s">
        <v>555</v>
      </c>
      <c r="S48" s="52" t="s">
        <v>556</v>
      </c>
      <c r="T48" s="53" t="s">
        <v>557</v>
      </c>
      <c r="U48" s="50" t="s">
        <v>120</v>
      </c>
      <c r="V48" s="50" t="s">
        <v>121</v>
      </c>
    </row>
    <row r="49" ht="22.5" customHeight="1">
      <c r="A49" s="49">
        <v>48.0</v>
      </c>
      <c r="B49" s="50" t="s">
        <v>558</v>
      </c>
      <c r="C49" s="50" t="s">
        <v>426</v>
      </c>
      <c r="D49" s="50" t="s">
        <v>559</v>
      </c>
      <c r="E49" s="49" t="s">
        <v>105</v>
      </c>
      <c r="F49" s="50">
        <v>4.0</v>
      </c>
      <c r="G49" s="50" t="s">
        <v>196</v>
      </c>
      <c r="H49" s="49" t="s">
        <v>560</v>
      </c>
      <c r="I49" s="50" t="s">
        <v>561</v>
      </c>
      <c r="J49" s="50" t="s">
        <v>109</v>
      </c>
      <c r="K49" s="49" t="s">
        <v>562</v>
      </c>
      <c r="L49" s="50" t="s">
        <v>563</v>
      </c>
      <c r="M49" s="50" t="s">
        <v>563</v>
      </c>
      <c r="N49" s="49" t="s">
        <v>115</v>
      </c>
      <c r="O49" s="50" t="s">
        <v>115</v>
      </c>
      <c r="P49" s="50" t="s">
        <v>115</v>
      </c>
      <c r="Q49" s="49" t="s">
        <v>227</v>
      </c>
      <c r="R49" s="51" t="s">
        <v>564</v>
      </c>
      <c r="S49" s="52" t="s">
        <v>565</v>
      </c>
      <c r="T49" s="53" t="s">
        <v>566</v>
      </c>
      <c r="U49" s="50" t="s">
        <v>120</v>
      </c>
      <c r="V49" s="50" t="s">
        <v>121</v>
      </c>
    </row>
    <row r="50" ht="22.5" customHeight="1">
      <c r="A50" s="49">
        <v>49.0</v>
      </c>
      <c r="B50" s="50" t="s">
        <v>567</v>
      </c>
      <c r="C50" s="50" t="s">
        <v>103</v>
      </c>
      <c r="D50" s="50" t="s">
        <v>568</v>
      </c>
      <c r="E50" s="49" t="s">
        <v>105</v>
      </c>
      <c r="F50" s="50">
        <v>4.0</v>
      </c>
      <c r="G50" s="50" t="s">
        <v>196</v>
      </c>
      <c r="H50" s="49" t="s">
        <v>477</v>
      </c>
      <c r="I50" s="50" t="s">
        <v>569</v>
      </c>
      <c r="J50" s="50" t="s">
        <v>109</v>
      </c>
      <c r="K50" s="49" t="s">
        <v>110</v>
      </c>
      <c r="L50" s="50" t="s">
        <v>245</v>
      </c>
      <c r="M50" s="50" t="s">
        <v>336</v>
      </c>
      <c r="N50" s="49" t="s">
        <v>336</v>
      </c>
      <c r="O50" s="50" t="s">
        <v>115</v>
      </c>
      <c r="P50" s="50" t="s">
        <v>115</v>
      </c>
      <c r="Q50" s="49" t="s">
        <v>227</v>
      </c>
      <c r="R50" s="51" t="s">
        <v>570</v>
      </c>
      <c r="S50" s="52" t="s">
        <v>565</v>
      </c>
      <c r="T50" s="53" t="s">
        <v>571</v>
      </c>
      <c r="U50" s="50" t="s">
        <v>120</v>
      </c>
      <c r="V50" s="50" t="s">
        <v>121</v>
      </c>
    </row>
    <row r="51" ht="22.5" hidden="1" customHeight="1">
      <c r="A51" s="49">
        <v>50.0</v>
      </c>
      <c r="B51" s="50" t="s">
        <v>567</v>
      </c>
      <c r="C51" s="50" t="s">
        <v>103</v>
      </c>
      <c r="D51" s="50" t="s">
        <v>572</v>
      </c>
      <c r="E51" s="49" t="s">
        <v>105</v>
      </c>
      <c r="F51" s="50">
        <v>4.0</v>
      </c>
      <c r="G51" s="50" t="s">
        <v>196</v>
      </c>
      <c r="H51" s="49" t="s">
        <v>477</v>
      </c>
      <c r="I51" s="50" t="s">
        <v>573</v>
      </c>
      <c r="J51" s="50" t="s">
        <v>574</v>
      </c>
      <c r="K51" s="49" t="s">
        <v>575</v>
      </c>
      <c r="L51" s="50" t="s">
        <v>280</v>
      </c>
      <c r="M51" s="50" t="s">
        <v>336</v>
      </c>
      <c r="N51" s="49" t="s">
        <v>115</v>
      </c>
      <c r="O51" s="50" t="s">
        <v>115</v>
      </c>
      <c r="P51" s="50" t="s">
        <v>115</v>
      </c>
      <c r="Q51" s="49" t="s">
        <v>227</v>
      </c>
      <c r="R51" s="51" t="s">
        <v>576</v>
      </c>
      <c r="S51" s="52" t="s">
        <v>565</v>
      </c>
      <c r="T51" s="53" t="s">
        <v>577</v>
      </c>
      <c r="U51" s="50" t="s">
        <v>120</v>
      </c>
      <c r="V51" s="50" t="s">
        <v>121</v>
      </c>
    </row>
    <row r="52" ht="22.5" customHeight="1">
      <c r="A52" s="49">
        <v>51.0</v>
      </c>
      <c r="B52" s="50" t="s">
        <v>578</v>
      </c>
      <c r="C52" s="50" t="s">
        <v>579</v>
      </c>
      <c r="D52" s="50" t="s">
        <v>580</v>
      </c>
      <c r="E52" s="49" t="s">
        <v>105</v>
      </c>
      <c r="F52" s="50">
        <v>4.0</v>
      </c>
      <c r="G52" s="50" t="s">
        <v>196</v>
      </c>
      <c r="H52" s="49" t="s">
        <v>581</v>
      </c>
      <c r="I52" s="50" t="s">
        <v>242</v>
      </c>
      <c r="J52" s="50" t="s">
        <v>109</v>
      </c>
      <c r="K52" s="49" t="s">
        <v>582</v>
      </c>
      <c r="L52" s="50" t="s">
        <v>245</v>
      </c>
      <c r="M52" s="50" t="s">
        <v>549</v>
      </c>
      <c r="N52" s="49" t="s">
        <v>115</v>
      </c>
      <c r="O52" s="50" t="s">
        <v>115</v>
      </c>
      <c r="P52" s="50" t="s">
        <v>115</v>
      </c>
      <c r="Q52" s="49" t="s">
        <v>227</v>
      </c>
      <c r="R52" s="51" t="s">
        <v>583</v>
      </c>
      <c r="S52" s="52" t="s">
        <v>584</v>
      </c>
      <c r="T52" s="53" t="s">
        <v>585</v>
      </c>
      <c r="U52" s="50">
        <v>2.5</v>
      </c>
      <c r="V52" s="50" t="s">
        <v>160</v>
      </c>
    </row>
    <row r="53" ht="22.5" customHeight="1">
      <c r="A53" s="49">
        <v>52.0</v>
      </c>
      <c r="B53" s="50" t="s">
        <v>250</v>
      </c>
      <c r="C53" s="50" t="s">
        <v>206</v>
      </c>
      <c r="D53" s="50" t="s">
        <v>586</v>
      </c>
      <c r="E53" s="49" t="s">
        <v>105</v>
      </c>
      <c r="F53" s="50">
        <v>4.0</v>
      </c>
      <c r="G53" s="50" t="s">
        <v>126</v>
      </c>
      <c r="H53" s="49" t="s">
        <v>533</v>
      </c>
      <c r="I53" s="50" t="s">
        <v>587</v>
      </c>
      <c r="J53" s="50" t="s">
        <v>109</v>
      </c>
      <c r="K53" s="49" t="s">
        <v>254</v>
      </c>
      <c r="L53" s="50" t="s">
        <v>563</v>
      </c>
      <c r="M53" s="50" t="s">
        <v>563</v>
      </c>
      <c r="N53" s="49" t="s">
        <v>115</v>
      </c>
      <c r="O53" s="50" t="s">
        <v>115</v>
      </c>
      <c r="P53" s="50" t="s">
        <v>115</v>
      </c>
      <c r="Q53" s="49" t="s">
        <v>227</v>
      </c>
      <c r="R53" s="51" t="s">
        <v>588</v>
      </c>
      <c r="S53" s="52" t="s">
        <v>565</v>
      </c>
      <c r="T53" s="53" t="s">
        <v>589</v>
      </c>
      <c r="U53" s="50" t="s">
        <v>120</v>
      </c>
      <c r="V53" s="50" t="s">
        <v>121</v>
      </c>
    </row>
    <row r="54" ht="22.5" hidden="1" customHeight="1">
      <c r="A54" s="49">
        <v>53.0</v>
      </c>
      <c r="B54" s="50" t="s">
        <v>205</v>
      </c>
      <c r="C54" s="50" t="s">
        <v>206</v>
      </c>
      <c r="D54" s="50" t="s">
        <v>590</v>
      </c>
      <c r="E54" s="49" t="s">
        <v>591</v>
      </c>
      <c r="F54" s="50">
        <v>4.0</v>
      </c>
      <c r="G54" s="50" t="s">
        <v>126</v>
      </c>
      <c r="H54" s="49" t="s">
        <v>533</v>
      </c>
      <c r="I54" s="50" t="s">
        <v>587</v>
      </c>
      <c r="J54" s="50" t="s">
        <v>109</v>
      </c>
      <c r="K54" s="49" t="s">
        <v>254</v>
      </c>
      <c r="L54" s="50" t="s">
        <v>356</v>
      </c>
      <c r="M54" s="50" t="s">
        <v>356</v>
      </c>
      <c r="N54" s="49" t="s">
        <v>130</v>
      </c>
      <c r="O54" s="50" t="s">
        <v>115</v>
      </c>
      <c r="P54" s="50" t="s">
        <v>115</v>
      </c>
      <c r="Q54" s="49" t="s">
        <v>227</v>
      </c>
      <c r="R54" s="51" t="s">
        <v>592</v>
      </c>
      <c r="S54" s="52" t="s">
        <v>593</v>
      </c>
      <c r="T54" s="53" t="s">
        <v>594</v>
      </c>
      <c r="U54" s="50" t="s">
        <v>120</v>
      </c>
      <c r="V54" s="50" t="s">
        <v>121</v>
      </c>
    </row>
    <row r="55" ht="22.5" customHeight="1">
      <c r="A55" s="49">
        <v>54.0</v>
      </c>
      <c r="B55" s="50" t="s">
        <v>102</v>
      </c>
      <c r="C55" s="50" t="s">
        <v>103</v>
      </c>
      <c r="D55" s="50" t="s">
        <v>595</v>
      </c>
      <c r="E55" s="49" t="s">
        <v>105</v>
      </c>
      <c r="F55" s="50">
        <v>4.0</v>
      </c>
      <c r="G55" s="50" t="s">
        <v>276</v>
      </c>
      <c r="H55" s="49" t="s">
        <v>596</v>
      </c>
      <c r="I55" s="50" t="s">
        <v>596</v>
      </c>
      <c r="J55" s="50" t="s">
        <v>297</v>
      </c>
      <c r="K55" s="49" t="s">
        <v>597</v>
      </c>
      <c r="L55" s="50" t="s">
        <v>598</v>
      </c>
      <c r="M55" s="50" t="s">
        <v>471</v>
      </c>
      <c r="N55" s="49" t="s">
        <v>115</v>
      </c>
      <c r="O55" s="50" t="s">
        <v>115</v>
      </c>
      <c r="P55" s="50" t="s">
        <v>311</v>
      </c>
      <c r="Q55" s="49" t="s">
        <v>227</v>
      </c>
      <c r="R55" s="51" t="s">
        <v>599</v>
      </c>
      <c r="S55" s="52" t="s">
        <v>600</v>
      </c>
      <c r="T55" s="53" t="s">
        <v>601</v>
      </c>
      <c r="U55" s="50" t="s">
        <v>120</v>
      </c>
      <c r="V55" s="50" t="s">
        <v>121</v>
      </c>
    </row>
    <row r="56" ht="22.5" hidden="1" customHeight="1">
      <c r="A56" s="49">
        <v>55.0</v>
      </c>
      <c r="B56" s="50" t="s">
        <v>102</v>
      </c>
      <c r="C56" s="50" t="s">
        <v>103</v>
      </c>
      <c r="D56" s="50" t="s">
        <v>602</v>
      </c>
      <c r="E56" s="49" t="s">
        <v>105</v>
      </c>
      <c r="F56" s="50">
        <v>4.0</v>
      </c>
      <c r="G56" s="50" t="s">
        <v>106</v>
      </c>
      <c r="H56" s="49" t="s">
        <v>499</v>
      </c>
      <c r="I56" s="50" t="s">
        <v>108</v>
      </c>
      <c r="J56" s="50" t="s">
        <v>297</v>
      </c>
      <c r="K56" s="49" t="s">
        <v>597</v>
      </c>
      <c r="L56" s="50" t="s">
        <v>598</v>
      </c>
      <c r="M56" s="50" t="s">
        <v>471</v>
      </c>
      <c r="N56" s="49" t="s">
        <v>115</v>
      </c>
      <c r="O56" s="50" t="s">
        <v>603</v>
      </c>
      <c r="P56" s="50" t="s">
        <v>115</v>
      </c>
      <c r="Q56" s="49" t="s">
        <v>227</v>
      </c>
      <c r="R56" s="51" t="s">
        <v>604</v>
      </c>
      <c r="S56" s="52" t="s">
        <v>605</v>
      </c>
      <c r="T56" s="53" t="s">
        <v>606</v>
      </c>
      <c r="U56" s="50" t="s">
        <v>120</v>
      </c>
      <c r="V56" s="50" t="s">
        <v>121</v>
      </c>
    </row>
    <row r="57" ht="22.5" hidden="1" customHeight="1">
      <c r="A57" s="49">
        <v>56.0</v>
      </c>
      <c r="B57" s="50" t="s">
        <v>102</v>
      </c>
      <c r="C57" s="50" t="s">
        <v>103</v>
      </c>
      <c r="D57" s="50" t="s">
        <v>607</v>
      </c>
      <c r="E57" s="49" t="s">
        <v>105</v>
      </c>
      <c r="F57" s="50">
        <v>4.0</v>
      </c>
      <c r="G57" s="50" t="s">
        <v>106</v>
      </c>
      <c r="H57" s="49" t="s">
        <v>499</v>
      </c>
      <c r="I57" s="50" t="s">
        <v>108</v>
      </c>
      <c r="J57" s="50" t="s">
        <v>297</v>
      </c>
      <c r="K57" s="49" t="s">
        <v>597</v>
      </c>
      <c r="L57" s="50" t="s">
        <v>280</v>
      </c>
      <c r="M57" s="50" t="s">
        <v>494</v>
      </c>
      <c r="N57" s="49" t="s">
        <v>115</v>
      </c>
      <c r="O57" s="50" t="s">
        <v>603</v>
      </c>
      <c r="P57" s="50" t="s">
        <v>115</v>
      </c>
      <c r="Q57" s="49" t="s">
        <v>227</v>
      </c>
      <c r="R57" s="51" t="s">
        <v>608</v>
      </c>
      <c r="S57" s="52" t="s">
        <v>605</v>
      </c>
      <c r="T57" s="53" t="s">
        <v>609</v>
      </c>
      <c r="U57" s="50" t="s">
        <v>120</v>
      </c>
      <c r="V57" s="50" t="s">
        <v>121</v>
      </c>
    </row>
    <row r="58" ht="22.5" hidden="1" customHeight="1">
      <c r="A58" s="49">
        <v>57.0</v>
      </c>
      <c r="B58" s="50" t="s">
        <v>102</v>
      </c>
      <c r="C58" s="50" t="s">
        <v>103</v>
      </c>
      <c r="D58" s="50" t="s">
        <v>610</v>
      </c>
      <c r="E58" s="49" t="s">
        <v>105</v>
      </c>
      <c r="F58" s="50">
        <v>4.0</v>
      </c>
      <c r="G58" s="50" t="s">
        <v>106</v>
      </c>
      <c r="H58" s="49" t="s">
        <v>499</v>
      </c>
      <c r="I58" s="50" t="s">
        <v>108</v>
      </c>
      <c r="J58" s="50" t="s">
        <v>297</v>
      </c>
      <c r="K58" s="49" t="s">
        <v>597</v>
      </c>
      <c r="L58" s="50" t="s">
        <v>280</v>
      </c>
      <c r="M58" s="50" t="s">
        <v>471</v>
      </c>
      <c r="N58" s="49" t="s">
        <v>115</v>
      </c>
      <c r="O58" s="50" t="s">
        <v>603</v>
      </c>
      <c r="P58" s="50" t="s">
        <v>115</v>
      </c>
      <c r="Q58" s="49" t="s">
        <v>227</v>
      </c>
      <c r="R58" s="51" t="s">
        <v>611</v>
      </c>
      <c r="S58" s="52" t="s">
        <v>605</v>
      </c>
      <c r="T58" s="53" t="s">
        <v>612</v>
      </c>
      <c r="U58" s="50" t="s">
        <v>120</v>
      </c>
      <c r="V58" s="50" t="s">
        <v>121</v>
      </c>
    </row>
    <row r="59" ht="22.5" customHeight="1">
      <c r="A59" s="49">
        <v>58.0</v>
      </c>
      <c r="B59" s="50" t="s">
        <v>613</v>
      </c>
      <c r="C59" s="50" t="s">
        <v>614</v>
      </c>
      <c r="D59" s="50" t="s">
        <v>615</v>
      </c>
      <c r="E59" s="49" t="s">
        <v>105</v>
      </c>
      <c r="F59" s="50">
        <v>4.0</v>
      </c>
      <c r="G59" s="50" t="s">
        <v>106</v>
      </c>
      <c r="H59" s="49" t="s">
        <v>616</v>
      </c>
      <c r="I59" s="50" t="s">
        <v>617</v>
      </c>
      <c r="J59" s="50" t="s">
        <v>109</v>
      </c>
      <c r="K59" s="49" t="s">
        <v>618</v>
      </c>
      <c r="L59" s="50" t="s">
        <v>280</v>
      </c>
      <c r="M59" s="50" t="s">
        <v>619</v>
      </c>
      <c r="N59" s="49" t="s">
        <v>115</v>
      </c>
      <c r="O59" s="50" t="s">
        <v>115</v>
      </c>
      <c r="P59" s="50" t="s">
        <v>620</v>
      </c>
      <c r="Q59" s="49" t="s">
        <v>156</v>
      </c>
      <c r="R59" s="51" t="s">
        <v>621</v>
      </c>
      <c r="S59" s="52" t="s">
        <v>622</v>
      </c>
      <c r="T59" s="53" t="s">
        <v>623</v>
      </c>
      <c r="U59" s="50" t="s">
        <v>120</v>
      </c>
      <c r="V59" s="50" t="s">
        <v>121</v>
      </c>
    </row>
    <row r="60" ht="22.5" customHeight="1">
      <c r="A60" s="49">
        <v>59.0</v>
      </c>
      <c r="B60" s="50" t="s">
        <v>624</v>
      </c>
      <c r="C60" s="50" t="s">
        <v>625</v>
      </c>
      <c r="D60" s="50" t="s">
        <v>626</v>
      </c>
      <c r="E60" s="49" t="s">
        <v>105</v>
      </c>
      <c r="F60" s="50">
        <v>4.0</v>
      </c>
      <c r="G60" s="50" t="s">
        <v>106</v>
      </c>
      <c r="H60" s="49" t="s">
        <v>627</v>
      </c>
      <c r="I60" s="50" t="s">
        <v>628</v>
      </c>
      <c r="J60" s="50" t="s">
        <v>297</v>
      </c>
      <c r="K60" s="49" t="s">
        <v>629</v>
      </c>
      <c r="L60" s="50" t="s">
        <v>280</v>
      </c>
      <c r="M60" s="50" t="s">
        <v>630</v>
      </c>
      <c r="N60" s="49" t="s">
        <v>115</v>
      </c>
      <c r="O60" s="50" t="s">
        <v>115</v>
      </c>
      <c r="P60" s="50" t="s">
        <v>115</v>
      </c>
      <c r="Q60" s="49" t="s">
        <v>227</v>
      </c>
      <c r="R60" s="51" t="s">
        <v>631</v>
      </c>
      <c r="S60" s="52" t="s">
        <v>520</v>
      </c>
      <c r="T60" s="53" t="s">
        <v>632</v>
      </c>
      <c r="U60" s="50">
        <v>2.5</v>
      </c>
      <c r="V60" s="50" t="s">
        <v>121</v>
      </c>
    </row>
    <row r="61" ht="22.5" hidden="1" customHeight="1">
      <c r="A61" s="49">
        <v>60.0</v>
      </c>
      <c r="B61" s="50" t="s">
        <v>633</v>
      </c>
      <c r="C61" s="50" t="s">
        <v>634</v>
      </c>
      <c r="D61" s="50" t="s">
        <v>635</v>
      </c>
      <c r="E61" s="49" t="s">
        <v>105</v>
      </c>
      <c r="F61" s="50">
        <v>4.0</v>
      </c>
      <c r="G61" s="50" t="s">
        <v>106</v>
      </c>
      <c r="H61" s="49" t="s">
        <v>636</v>
      </c>
      <c r="I61" s="50" t="s">
        <v>637</v>
      </c>
      <c r="J61" s="50" t="s">
        <v>109</v>
      </c>
      <c r="K61" s="49" t="s">
        <v>638</v>
      </c>
      <c r="L61" s="50" t="s">
        <v>280</v>
      </c>
      <c r="M61" s="50" t="s">
        <v>639</v>
      </c>
      <c r="N61" s="49" t="s">
        <v>115</v>
      </c>
      <c r="O61" s="50" t="s">
        <v>640</v>
      </c>
      <c r="P61" s="50" t="s">
        <v>115</v>
      </c>
      <c r="Q61" s="49" t="s">
        <v>156</v>
      </c>
      <c r="R61" s="51" t="s">
        <v>641</v>
      </c>
      <c r="S61" s="52" t="s">
        <v>642</v>
      </c>
      <c r="T61" s="53" t="s">
        <v>643</v>
      </c>
      <c r="U61" s="50">
        <v>2.5</v>
      </c>
      <c r="V61" s="50" t="s">
        <v>121</v>
      </c>
    </row>
    <row r="62" ht="22.5" customHeight="1">
      <c r="A62" s="49">
        <v>61.0</v>
      </c>
      <c r="B62" s="50" t="s">
        <v>644</v>
      </c>
      <c r="C62" s="50" t="s">
        <v>645</v>
      </c>
      <c r="D62" s="50" t="s">
        <v>646</v>
      </c>
      <c r="E62" s="49" t="s">
        <v>105</v>
      </c>
      <c r="F62" s="50">
        <v>4.0</v>
      </c>
      <c r="G62" s="50" t="s">
        <v>126</v>
      </c>
      <c r="H62" s="49" t="s">
        <v>533</v>
      </c>
      <c r="I62" s="50" t="s">
        <v>647</v>
      </c>
      <c r="J62" s="50" t="s">
        <v>109</v>
      </c>
      <c r="K62" s="49" t="s">
        <v>648</v>
      </c>
      <c r="L62" s="50" t="s">
        <v>356</v>
      </c>
      <c r="M62" s="50" t="s">
        <v>356</v>
      </c>
      <c r="N62" s="49" t="s">
        <v>115</v>
      </c>
      <c r="O62" s="50" t="s">
        <v>115</v>
      </c>
      <c r="P62" s="50" t="s">
        <v>115</v>
      </c>
      <c r="Q62" s="49" t="s">
        <v>156</v>
      </c>
      <c r="R62" s="51" t="s">
        <v>649</v>
      </c>
      <c r="S62" s="52" t="s">
        <v>650</v>
      </c>
      <c r="T62" s="53" t="s">
        <v>651</v>
      </c>
      <c r="U62" s="50" t="s">
        <v>120</v>
      </c>
      <c r="V62" s="50" t="s">
        <v>121</v>
      </c>
    </row>
    <row r="63" ht="22.5" customHeight="1">
      <c r="A63" s="49">
        <v>62.0</v>
      </c>
      <c r="B63" s="50" t="s">
        <v>652</v>
      </c>
      <c r="C63" s="50" t="s">
        <v>382</v>
      </c>
      <c r="D63" s="50" t="s">
        <v>653</v>
      </c>
      <c r="E63" s="49" t="s">
        <v>105</v>
      </c>
      <c r="F63" s="50">
        <v>4.0</v>
      </c>
      <c r="G63" s="50" t="s">
        <v>106</v>
      </c>
      <c r="H63" s="49" t="s">
        <v>344</v>
      </c>
      <c r="I63" s="50" t="s">
        <v>654</v>
      </c>
      <c r="J63" s="50" t="s">
        <v>297</v>
      </c>
      <c r="K63" s="49" t="s">
        <v>655</v>
      </c>
      <c r="L63" s="50" t="s">
        <v>356</v>
      </c>
      <c r="M63" s="50" t="s">
        <v>356</v>
      </c>
      <c r="N63" s="49" t="s">
        <v>115</v>
      </c>
      <c r="O63" s="50" t="s">
        <v>115</v>
      </c>
      <c r="P63" s="50" t="s">
        <v>115</v>
      </c>
      <c r="Q63" s="49" t="s">
        <v>227</v>
      </c>
      <c r="R63" s="51" t="s">
        <v>656</v>
      </c>
      <c r="S63" s="52" t="s">
        <v>657</v>
      </c>
      <c r="T63" s="53" t="s">
        <v>658</v>
      </c>
      <c r="U63" s="50" t="s">
        <v>120</v>
      </c>
      <c r="V63" s="50" t="s">
        <v>160</v>
      </c>
    </row>
    <row r="64" ht="22.5" hidden="1" customHeight="1">
      <c r="A64" s="49">
        <v>63.0</v>
      </c>
      <c r="B64" s="50" t="s">
        <v>659</v>
      </c>
      <c r="C64" s="50" t="s">
        <v>660</v>
      </c>
      <c r="D64" s="50" t="s">
        <v>661</v>
      </c>
      <c r="E64" s="49" t="s">
        <v>105</v>
      </c>
      <c r="F64" s="50">
        <v>4.0</v>
      </c>
      <c r="G64" s="50" t="s">
        <v>106</v>
      </c>
      <c r="H64" s="49" t="s">
        <v>393</v>
      </c>
      <c r="I64" s="50" t="s">
        <v>628</v>
      </c>
      <c r="J64" s="50" t="s">
        <v>297</v>
      </c>
      <c r="K64" s="49" t="s">
        <v>662</v>
      </c>
      <c r="L64" s="50" t="s">
        <v>356</v>
      </c>
      <c r="M64" s="50" t="s">
        <v>356</v>
      </c>
      <c r="N64" s="49" t="s">
        <v>115</v>
      </c>
      <c r="O64" s="50" t="s">
        <v>377</v>
      </c>
      <c r="P64" s="50" t="s">
        <v>115</v>
      </c>
      <c r="Q64" s="49" t="s">
        <v>282</v>
      </c>
      <c r="R64" s="51" t="s">
        <v>663</v>
      </c>
      <c r="S64" s="52" t="s">
        <v>664</v>
      </c>
      <c r="T64" s="53" t="s">
        <v>665</v>
      </c>
      <c r="U64" s="50" t="s">
        <v>120</v>
      </c>
      <c r="V64" s="50" t="s">
        <v>160</v>
      </c>
    </row>
    <row r="65" ht="22.5" hidden="1" customHeight="1">
      <c r="A65" s="49">
        <v>64.0</v>
      </c>
      <c r="B65" s="50" t="s">
        <v>666</v>
      </c>
      <c r="C65" s="50" t="s">
        <v>667</v>
      </c>
      <c r="D65" s="50" t="s">
        <v>668</v>
      </c>
      <c r="E65" s="49" t="s">
        <v>105</v>
      </c>
      <c r="F65" s="50">
        <v>4.0</v>
      </c>
      <c r="G65" s="50" t="s">
        <v>106</v>
      </c>
      <c r="H65" s="49" t="s">
        <v>669</v>
      </c>
      <c r="I65" s="50" t="s">
        <v>332</v>
      </c>
      <c r="J65" s="50" t="s">
        <v>297</v>
      </c>
      <c r="K65" s="49" t="s">
        <v>670</v>
      </c>
      <c r="L65" s="50" t="s">
        <v>671</v>
      </c>
      <c r="M65" s="50" t="s">
        <v>672</v>
      </c>
      <c r="N65" s="49" t="s">
        <v>115</v>
      </c>
      <c r="O65" s="50" t="s">
        <v>377</v>
      </c>
      <c r="P65" s="50" t="s">
        <v>115</v>
      </c>
      <c r="Q65" s="49" t="s">
        <v>227</v>
      </c>
      <c r="R65" s="51" t="s">
        <v>673</v>
      </c>
      <c r="S65" s="52" t="s">
        <v>650</v>
      </c>
      <c r="T65" s="53" t="s">
        <v>674</v>
      </c>
      <c r="U65" s="50" t="s">
        <v>120</v>
      </c>
      <c r="V65" s="50" t="s">
        <v>121</v>
      </c>
    </row>
    <row r="66" ht="22.5" customHeight="1">
      <c r="A66" s="49">
        <v>65.0</v>
      </c>
      <c r="B66" s="50" t="s">
        <v>675</v>
      </c>
      <c r="C66" s="50" t="s">
        <v>676</v>
      </c>
      <c r="D66" s="50" t="s">
        <v>677</v>
      </c>
      <c r="E66" s="49" t="s">
        <v>105</v>
      </c>
      <c r="F66" s="50">
        <v>4.0</v>
      </c>
      <c r="G66" s="50" t="s">
        <v>106</v>
      </c>
      <c r="H66" s="49" t="s">
        <v>678</v>
      </c>
      <c r="I66" s="50" t="s">
        <v>234</v>
      </c>
      <c r="J66" s="50" t="s">
        <v>297</v>
      </c>
      <c r="K66" s="49" t="s">
        <v>679</v>
      </c>
      <c r="L66" s="50" t="s">
        <v>280</v>
      </c>
      <c r="M66" s="50" t="s">
        <v>680</v>
      </c>
      <c r="N66" s="49" t="s">
        <v>115</v>
      </c>
      <c r="O66" s="50" t="s">
        <v>115</v>
      </c>
      <c r="P66" s="50" t="s">
        <v>115</v>
      </c>
      <c r="Q66" s="49" t="s">
        <v>227</v>
      </c>
      <c r="R66" s="51" t="s">
        <v>681</v>
      </c>
      <c r="S66" s="52" t="s">
        <v>682</v>
      </c>
      <c r="T66" s="53" t="s">
        <v>683</v>
      </c>
      <c r="U66" s="50" t="s">
        <v>120</v>
      </c>
      <c r="V66" s="50" t="s">
        <v>160</v>
      </c>
    </row>
    <row r="67" ht="22.5" customHeight="1">
      <c r="A67" s="49">
        <v>66.0</v>
      </c>
      <c r="B67" s="50" t="s">
        <v>578</v>
      </c>
      <c r="C67" s="50" t="s">
        <v>579</v>
      </c>
      <c r="D67" s="50" t="s">
        <v>684</v>
      </c>
      <c r="E67" s="49" t="s">
        <v>105</v>
      </c>
      <c r="F67" s="50">
        <v>4.0</v>
      </c>
      <c r="G67" s="50" t="s">
        <v>126</v>
      </c>
      <c r="H67" s="49" t="s">
        <v>533</v>
      </c>
      <c r="I67" s="50" t="s">
        <v>647</v>
      </c>
      <c r="J67" s="50" t="s">
        <v>109</v>
      </c>
      <c r="K67" s="49" t="s">
        <v>685</v>
      </c>
      <c r="L67" s="50" t="s">
        <v>280</v>
      </c>
      <c r="M67" s="50" t="s">
        <v>686</v>
      </c>
      <c r="N67" s="49" t="s">
        <v>115</v>
      </c>
      <c r="O67" s="50" t="s">
        <v>115</v>
      </c>
      <c r="P67" s="50" t="s">
        <v>115</v>
      </c>
      <c r="Q67" s="49" t="s">
        <v>227</v>
      </c>
      <c r="R67" s="51" t="s">
        <v>687</v>
      </c>
      <c r="S67" s="52" t="s">
        <v>688</v>
      </c>
      <c r="T67" s="53" t="s">
        <v>689</v>
      </c>
      <c r="U67" s="50" t="s">
        <v>120</v>
      </c>
      <c r="V67" s="50" t="s">
        <v>160</v>
      </c>
    </row>
    <row r="68" ht="22.5" customHeight="1">
      <c r="A68" s="49">
        <v>67.0</v>
      </c>
      <c r="B68" s="50" t="s">
        <v>690</v>
      </c>
      <c r="C68" s="50" t="s">
        <v>137</v>
      </c>
      <c r="D68" s="50" t="s">
        <v>691</v>
      </c>
      <c r="E68" s="49" t="s">
        <v>105</v>
      </c>
      <c r="F68" s="50">
        <v>3.0</v>
      </c>
      <c r="G68" s="50" t="s">
        <v>126</v>
      </c>
      <c r="H68" s="49" t="s">
        <v>692</v>
      </c>
      <c r="I68" s="50" t="s">
        <v>693</v>
      </c>
      <c r="J68" s="50" t="s">
        <v>109</v>
      </c>
      <c r="K68" s="49" t="s">
        <v>694</v>
      </c>
      <c r="L68" s="50" t="s">
        <v>280</v>
      </c>
      <c r="M68" s="50" t="s">
        <v>356</v>
      </c>
      <c r="N68" s="49" t="s">
        <v>357</v>
      </c>
      <c r="O68" s="50" t="s">
        <v>115</v>
      </c>
      <c r="P68" s="50" t="s">
        <v>115</v>
      </c>
      <c r="Q68" s="49" t="s">
        <v>282</v>
      </c>
      <c r="R68" s="51" t="s">
        <v>695</v>
      </c>
      <c r="S68" s="52" t="s">
        <v>696</v>
      </c>
      <c r="T68" s="53" t="s">
        <v>697</v>
      </c>
      <c r="U68" s="50">
        <v>2.5</v>
      </c>
      <c r="V68" s="50" t="s">
        <v>121</v>
      </c>
    </row>
    <row r="69" ht="22.5" customHeight="1">
      <c r="A69" s="49">
        <v>68.0</v>
      </c>
      <c r="B69" s="50" t="s">
        <v>698</v>
      </c>
      <c r="C69" s="50" t="s">
        <v>699</v>
      </c>
      <c r="D69" s="50" t="s">
        <v>700</v>
      </c>
      <c r="E69" s="49" t="s">
        <v>105</v>
      </c>
      <c r="F69" s="50">
        <v>4.0</v>
      </c>
      <c r="G69" s="50" t="s">
        <v>106</v>
      </c>
      <c r="H69" s="49" t="s">
        <v>701</v>
      </c>
      <c r="I69" s="50" t="s">
        <v>702</v>
      </c>
      <c r="J69" s="50" t="s">
        <v>297</v>
      </c>
      <c r="K69" s="49" t="s">
        <v>679</v>
      </c>
      <c r="L69" s="50" t="s">
        <v>280</v>
      </c>
      <c r="M69" s="50" t="s">
        <v>703</v>
      </c>
      <c r="N69" s="49" t="s">
        <v>115</v>
      </c>
      <c r="O69" s="50" t="s">
        <v>115</v>
      </c>
      <c r="P69" s="50" t="s">
        <v>115</v>
      </c>
      <c r="Q69" s="49" t="s">
        <v>227</v>
      </c>
      <c r="R69" s="51" t="s">
        <v>704</v>
      </c>
      <c r="S69" s="52" t="s">
        <v>650</v>
      </c>
      <c r="T69" s="53" t="s">
        <v>705</v>
      </c>
      <c r="U69" s="50" t="s">
        <v>120</v>
      </c>
      <c r="V69" s="50" t="s">
        <v>121</v>
      </c>
    </row>
    <row r="70" ht="22.5" hidden="1" customHeight="1">
      <c r="A70" s="49">
        <v>69.0</v>
      </c>
      <c r="B70" s="50" t="s">
        <v>506</v>
      </c>
      <c r="C70" s="50" t="s">
        <v>660</v>
      </c>
      <c r="D70" s="50" t="s">
        <v>706</v>
      </c>
      <c r="E70" s="49" t="s">
        <v>105</v>
      </c>
      <c r="F70" s="50">
        <v>4.0</v>
      </c>
      <c r="G70" s="50" t="s">
        <v>106</v>
      </c>
      <c r="H70" s="49" t="s">
        <v>499</v>
      </c>
      <c r="I70" s="50" t="s">
        <v>628</v>
      </c>
      <c r="J70" s="50" t="s">
        <v>297</v>
      </c>
      <c r="K70" s="49" t="s">
        <v>707</v>
      </c>
      <c r="L70" s="50" t="s">
        <v>245</v>
      </c>
      <c r="M70" s="50" t="s">
        <v>708</v>
      </c>
      <c r="N70" s="49" t="s">
        <v>115</v>
      </c>
      <c r="O70" s="50" t="s">
        <v>377</v>
      </c>
      <c r="P70" s="50" t="s">
        <v>115</v>
      </c>
      <c r="Q70" s="49" t="s">
        <v>282</v>
      </c>
      <c r="R70" s="51" t="s">
        <v>709</v>
      </c>
      <c r="S70" s="52" t="s">
        <v>710</v>
      </c>
      <c r="T70" s="53" t="s">
        <v>711</v>
      </c>
      <c r="U70" s="50" t="s">
        <v>120</v>
      </c>
      <c r="V70" s="50" t="s">
        <v>160</v>
      </c>
    </row>
    <row r="71" ht="22.5" customHeight="1">
      <c r="A71" s="49">
        <v>70.0</v>
      </c>
      <c r="B71" s="50" t="s">
        <v>578</v>
      </c>
      <c r="C71" s="50" t="s">
        <v>579</v>
      </c>
      <c r="D71" s="50" t="s">
        <v>712</v>
      </c>
      <c r="E71" s="49" t="s">
        <v>105</v>
      </c>
      <c r="F71" s="50">
        <v>4.0</v>
      </c>
      <c r="G71" s="50" t="s">
        <v>126</v>
      </c>
      <c r="H71" s="49" t="s">
        <v>533</v>
      </c>
      <c r="I71" s="50" t="s">
        <v>713</v>
      </c>
      <c r="J71" s="50" t="s">
        <v>109</v>
      </c>
      <c r="K71" s="49" t="s">
        <v>582</v>
      </c>
      <c r="L71" s="50" t="s">
        <v>714</v>
      </c>
      <c r="M71" s="50" t="s">
        <v>686</v>
      </c>
      <c r="N71" s="49" t="s">
        <v>115</v>
      </c>
      <c r="O71" s="50" t="s">
        <v>115</v>
      </c>
      <c r="P71" s="50" t="s">
        <v>115</v>
      </c>
      <c r="Q71" s="49" t="s">
        <v>227</v>
      </c>
      <c r="R71" s="51" t="s">
        <v>715</v>
      </c>
      <c r="S71" s="52" t="s">
        <v>716</v>
      </c>
      <c r="T71" s="53" t="s">
        <v>717</v>
      </c>
      <c r="U71" s="50">
        <v>2.5</v>
      </c>
      <c r="V71" s="50" t="s">
        <v>121</v>
      </c>
    </row>
    <row r="72" ht="22.5" hidden="1" customHeight="1">
      <c r="A72" s="49">
        <v>71.0</v>
      </c>
      <c r="B72" s="50" t="s">
        <v>718</v>
      </c>
      <c r="C72" s="50" t="s">
        <v>719</v>
      </c>
      <c r="D72" s="50" t="s">
        <v>653</v>
      </c>
      <c r="E72" s="49" t="s">
        <v>105</v>
      </c>
      <c r="F72" s="50">
        <v>4.0</v>
      </c>
      <c r="G72" s="50" t="s">
        <v>126</v>
      </c>
      <c r="H72" s="49" t="s">
        <v>533</v>
      </c>
      <c r="I72" s="50" t="s">
        <v>720</v>
      </c>
      <c r="J72" s="50" t="s">
        <v>243</v>
      </c>
      <c r="K72" s="49" t="s">
        <v>721</v>
      </c>
      <c r="L72" s="50" t="s">
        <v>245</v>
      </c>
      <c r="M72" s="50" t="s">
        <v>686</v>
      </c>
      <c r="N72" s="49" t="s">
        <v>115</v>
      </c>
      <c r="O72" s="50" t="s">
        <v>115</v>
      </c>
      <c r="P72" s="50" t="s">
        <v>115</v>
      </c>
      <c r="Q72" s="49" t="s">
        <v>227</v>
      </c>
      <c r="R72" s="51" t="s">
        <v>722</v>
      </c>
      <c r="S72" s="52" t="s">
        <v>723</v>
      </c>
      <c r="T72" s="53" t="s">
        <v>724</v>
      </c>
      <c r="U72" s="50" t="s">
        <v>120</v>
      </c>
      <c r="V72" s="50" t="s">
        <v>160</v>
      </c>
    </row>
    <row r="73" ht="22.5" customHeight="1">
      <c r="A73" s="49">
        <v>72.0</v>
      </c>
      <c r="B73" s="50" t="s">
        <v>725</v>
      </c>
      <c r="C73" s="50" t="s">
        <v>371</v>
      </c>
      <c r="D73" s="50" t="s">
        <v>726</v>
      </c>
      <c r="E73" s="49" t="s">
        <v>105</v>
      </c>
      <c r="F73" s="50">
        <v>4.0</v>
      </c>
      <c r="G73" s="50" t="s">
        <v>126</v>
      </c>
      <c r="H73" s="49" t="s">
        <v>533</v>
      </c>
      <c r="I73" s="50" t="s">
        <v>727</v>
      </c>
      <c r="J73" s="50" t="s">
        <v>109</v>
      </c>
      <c r="K73" s="49" t="s">
        <v>728</v>
      </c>
      <c r="L73" s="50" t="s">
        <v>245</v>
      </c>
      <c r="M73" s="50" t="s">
        <v>729</v>
      </c>
      <c r="N73" s="49" t="s">
        <v>115</v>
      </c>
      <c r="O73" s="50" t="s">
        <v>115</v>
      </c>
      <c r="P73" s="50" t="s">
        <v>115</v>
      </c>
      <c r="Q73" s="49" t="s">
        <v>227</v>
      </c>
      <c r="R73" s="51" t="s">
        <v>730</v>
      </c>
      <c r="S73" s="52" t="s">
        <v>731</v>
      </c>
      <c r="T73" s="53" t="s">
        <v>732</v>
      </c>
      <c r="U73" s="50" t="s">
        <v>120</v>
      </c>
      <c r="V73" s="50" t="s">
        <v>160</v>
      </c>
    </row>
    <row r="74" ht="22.5" customHeight="1">
      <c r="A74" s="49">
        <v>73.0</v>
      </c>
      <c r="B74" s="50" t="s">
        <v>733</v>
      </c>
      <c r="C74" s="50" t="s">
        <v>734</v>
      </c>
      <c r="D74" s="50" t="s">
        <v>735</v>
      </c>
      <c r="E74" s="49" t="s">
        <v>105</v>
      </c>
      <c r="F74" s="50">
        <v>3.0</v>
      </c>
      <c r="G74" s="50" t="s">
        <v>126</v>
      </c>
      <c r="H74" s="49" t="s">
        <v>533</v>
      </c>
      <c r="I74" s="50" t="s">
        <v>404</v>
      </c>
      <c r="J74" s="50" t="s">
        <v>109</v>
      </c>
      <c r="K74" s="49" t="s">
        <v>736</v>
      </c>
      <c r="L74" s="50" t="s">
        <v>737</v>
      </c>
      <c r="M74" s="50" t="s">
        <v>738</v>
      </c>
      <c r="N74" s="49" t="s">
        <v>115</v>
      </c>
      <c r="O74" s="50" t="s">
        <v>115</v>
      </c>
      <c r="P74" s="50" t="s">
        <v>115</v>
      </c>
      <c r="Q74" s="49" t="s">
        <v>227</v>
      </c>
      <c r="R74" s="51" t="s">
        <v>739</v>
      </c>
      <c r="S74" s="52" t="s">
        <v>740</v>
      </c>
      <c r="T74" s="53" t="s">
        <v>741</v>
      </c>
      <c r="U74" s="50" t="s">
        <v>120</v>
      </c>
      <c r="V74" s="50" t="s">
        <v>160</v>
      </c>
    </row>
    <row r="75" ht="22.5" hidden="1" customHeight="1">
      <c r="A75" s="49">
        <v>74.0</v>
      </c>
      <c r="B75" s="50" t="s">
        <v>250</v>
      </c>
      <c r="C75" s="50" t="s">
        <v>206</v>
      </c>
      <c r="D75" s="50" t="s">
        <v>742</v>
      </c>
      <c r="E75" s="49" t="s">
        <v>223</v>
      </c>
      <c r="F75" s="50">
        <v>4.0</v>
      </c>
      <c r="G75" s="50" t="s">
        <v>106</v>
      </c>
      <c r="H75" s="49" t="s">
        <v>743</v>
      </c>
      <c r="I75" s="50" t="s">
        <v>744</v>
      </c>
      <c r="J75" s="50" t="s">
        <v>210</v>
      </c>
      <c r="K75" s="49" t="s">
        <v>316</v>
      </c>
      <c r="L75" s="50" t="s">
        <v>245</v>
      </c>
      <c r="M75" s="50" t="s">
        <v>471</v>
      </c>
      <c r="N75" s="49" t="s">
        <v>406</v>
      </c>
      <c r="O75" s="50" t="s">
        <v>215</v>
      </c>
      <c r="P75" s="50" t="s">
        <v>311</v>
      </c>
      <c r="Q75" s="49" t="s">
        <v>116</v>
      </c>
      <c r="R75" s="51" t="s">
        <v>745</v>
      </c>
      <c r="S75" s="52" t="s">
        <v>746</v>
      </c>
      <c r="T75" s="53" t="s">
        <v>747</v>
      </c>
      <c r="U75" s="50" t="s">
        <v>120</v>
      </c>
      <c r="V75" s="50" t="s">
        <v>121</v>
      </c>
    </row>
    <row r="76" ht="22.5" customHeight="1">
      <c r="A76" s="49">
        <v>75.0</v>
      </c>
      <c r="B76" s="50" t="s">
        <v>748</v>
      </c>
      <c r="C76" s="50" t="s">
        <v>443</v>
      </c>
      <c r="D76" s="50" t="s">
        <v>749</v>
      </c>
      <c r="E76" s="49" t="s">
        <v>105</v>
      </c>
      <c r="F76" s="50">
        <v>4.0</v>
      </c>
      <c r="G76" s="50" t="s">
        <v>750</v>
      </c>
      <c r="H76" s="49" t="s">
        <v>751</v>
      </c>
      <c r="I76" s="50" t="s">
        <v>296</v>
      </c>
      <c r="J76" s="50" t="s">
        <v>109</v>
      </c>
      <c r="K76" s="49" t="s">
        <v>752</v>
      </c>
      <c r="L76" s="50" t="s">
        <v>245</v>
      </c>
      <c r="M76" s="50" t="s">
        <v>471</v>
      </c>
      <c r="N76" s="49" t="s">
        <v>406</v>
      </c>
      <c r="O76" s="50" t="s">
        <v>115</v>
      </c>
      <c r="P76" s="50" t="s">
        <v>115</v>
      </c>
      <c r="Q76" s="49" t="s">
        <v>282</v>
      </c>
      <c r="R76" s="51" t="s">
        <v>753</v>
      </c>
      <c r="S76" s="52" t="s">
        <v>754</v>
      </c>
      <c r="T76" s="53" t="s">
        <v>755</v>
      </c>
      <c r="U76" s="50">
        <v>2.5</v>
      </c>
      <c r="V76" s="50" t="s">
        <v>121</v>
      </c>
    </row>
    <row r="77" ht="22.5" customHeight="1">
      <c r="A77" s="49">
        <v>76.0</v>
      </c>
      <c r="B77" s="50" t="s">
        <v>756</v>
      </c>
      <c r="C77" s="50" t="s">
        <v>757</v>
      </c>
      <c r="D77" s="50" t="s">
        <v>758</v>
      </c>
      <c r="E77" s="49" t="s">
        <v>105</v>
      </c>
      <c r="F77" s="50">
        <v>3.0</v>
      </c>
      <c r="G77" s="50" t="s">
        <v>750</v>
      </c>
      <c r="H77" s="49" t="s">
        <v>759</v>
      </c>
      <c r="I77" s="50" t="s">
        <v>693</v>
      </c>
      <c r="J77" s="50" t="s">
        <v>109</v>
      </c>
      <c r="K77" s="49" t="s">
        <v>760</v>
      </c>
      <c r="L77" s="50" t="s">
        <v>671</v>
      </c>
      <c r="M77" s="50" t="s">
        <v>485</v>
      </c>
      <c r="N77" s="49" t="s">
        <v>115</v>
      </c>
      <c r="O77" s="50" t="s">
        <v>115</v>
      </c>
      <c r="P77" s="50" t="s">
        <v>115</v>
      </c>
      <c r="Q77" s="49" t="s">
        <v>132</v>
      </c>
      <c r="R77" s="51" t="s">
        <v>761</v>
      </c>
      <c r="S77" s="52" t="s">
        <v>762</v>
      </c>
      <c r="T77" s="53" t="s">
        <v>763</v>
      </c>
      <c r="U77" s="50">
        <v>2.5</v>
      </c>
      <c r="V77" s="50" t="s">
        <v>160</v>
      </c>
    </row>
    <row r="78" ht="22.5" customHeight="1">
      <c r="A78" s="49">
        <v>77.0</v>
      </c>
      <c r="B78" s="50" t="s">
        <v>764</v>
      </c>
      <c r="C78" s="50" t="s">
        <v>765</v>
      </c>
      <c r="D78" s="50" t="s">
        <v>766</v>
      </c>
      <c r="E78" s="49" t="s">
        <v>105</v>
      </c>
      <c r="F78" s="50">
        <v>3.0</v>
      </c>
      <c r="G78" s="50" t="s">
        <v>750</v>
      </c>
      <c r="H78" s="49" t="s">
        <v>533</v>
      </c>
      <c r="I78" s="50" t="s">
        <v>767</v>
      </c>
      <c r="J78" s="50" t="s">
        <v>109</v>
      </c>
      <c r="K78" s="49" t="s">
        <v>618</v>
      </c>
      <c r="L78" s="50" t="s">
        <v>130</v>
      </c>
      <c r="M78" s="50" t="s">
        <v>130</v>
      </c>
      <c r="N78" s="49" t="s">
        <v>406</v>
      </c>
      <c r="O78" s="50" t="s">
        <v>115</v>
      </c>
      <c r="P78" s="50" t="s">
        <v>115</v>
      </c>
      <c r="Q78" s="49" t="s">
        <v>156</v>
      </c>
      <c r="R78" s="51" t="s">
        <v>768</v>
      </c>
      <c r="S78" s="52" t="s">
        <v>769</v>
      </c>
      <c r="T78" s="53" t="s">
        <v>770</v>
      </c>
      <c r="U78" s="50">
        <v>2.3</v>
      </c>
      <c r="V78" s="50" t="s">
        <v>121</v>
      </c>
    </row>
    <row r="79" ht="22.5" customHeight="1">
      <c r="A79" s="49">
        <v>78.0</v>
      </c>
      <c r="B79" s="50" t="s">
        <v>771</v>
      </c>
      <c r="C79" s="50" t="s">
        <v>435</v>
      </c>
      <c r="D79" s="50" t="s">
        <v>772</v>
      </c>
      <c r="E79" s="49" t="s">
        <v>105</v>
      </c>
      <c r="F79" s="50">
        <v>3.0</v>
      </c>
      <c r="G79" s="50" t="s">
        <v>750</v>
      </c>
      <c r="H79" s="49" t="s">
        <v>773</v>
      </c>
      <c r="I79" s="50" t="s">
        <v>404</v>
      </c>
      <c r="J79" s="50" t="s">
        <v>109</v>
      </c>
      <c r="K79" s="49" t="s">
        <v>774</v>
      </c>
      <c r="L79" s="50" t="s">
        <v>280</v>
      </c>
      <c r="M79" s="50" t="s">
        <v>686</v>
      </c>
      <c r="N79" s="49" t="s">
        <v>775</v>
      </c>
      <c r="O79" s="50" t="s">
        <v>115</v>
      </c>
      <c r="P79" s="50" t="s">
        <v>115</v>
      </c>
      <c r="Q79" s="49" t="s">
        <v>378</v>
      </c>
      <c r="R79" s="51" t="s">
        <v>776</v>
      </c>
      <c r="S79" s="52" t="s">
        <v>777</v>
      </c>
      <c r="T79" s="53" t="s">
        <v>778</v>
      </c>
      <c r="U79" s="50">
        <v>2.5</v>
      </c>
      <c r="V79" s="50" t="s">
        <v>160</v>
      </c>
    </row>
    <row r="80" ht="22.5" customHeight="1">
      <c r="A80" s="49">
        <v>79.0</v>
      </c>
      <c r="B80" s="50" t="s">
        <v>578</v>
      </c>
      <c r="C80" s="50" t="s">
        <v>579</v>
      </c>
      <c r="D80" s="50" t="s">
        <v>779</v>
      </c>
      <c r="E80" s="49" t="s">
        <v>105</v>
      </c>
      <c r="F80" s="50">
        <v>4.0</v>
      </c>
      <c r="G80" s="50" t="s">
        <v>126</v>
      </c>
      <c r="H80" s="49" t="s">
        <v>780</v>
      </c>
      <c r="I80" s="50" t="s">
        <v>296</v>
      </c>
      <c r="J80" s="50" t="s">
        <v>109</v>
      </c>
      <c r="K80" s="49" t="s">
        <v>781</v>
      </c>
      <c r="L80" s="50" t="s">
        <v>255</v>
      </c>
      <c r="M80" s="50" t="s">
        <v>549</v>
      </c>
      <c r="N80" s="49" t="s">
        <v>115</v>
      </c>
      <c r="O80" s="50" t="s">
        <v>115</v>
      </c>
      <c r="P80" s="50" t="s">
        <v>115</v>
      </c>
      <c r="Q80" s="49" t="s">
        <v>116</v>
      </c>
      <c r="R80" s="51" t="s">
        <v>782</v>
      </c>
      <c r="S80" s="52" t="s">
        <v>783</v>
      </c>
      <c r="T80" s="53" t="s">
        <v>784</v>
      </c>
      <c r="U80" s="50" t="s">
        <v>120</v>
      </c>
      <c r="V80" s="50" t="s">
        <v>160</v>
      </c>
    </row>
    <row r="81" ht="22.5" customHeight="1">
      <c r="A81" s="49">
        <v>80.0</v>
      </c>
      <c r="B81" s="50" t="s">
        <v>273</v>
      </c>
      <c r="C81" s="50" t="s">
        <v>274</v>
      </c>
      <c r="D81" s="50" t="s">
        <v>785</v>
      </c>
      <c r="E81" s="49" t="s">
        <v>105</v>
      </c>
      <c r="F81" s="50">
        <v>3.0</v>
      </c>
      <c r="G81" s="50" t="s">
        <v>106</v>
      </c>
      <c r="H81" s="49" t="s">
        <v>786</v>
      </c>
      <c r="I81" s="50" t="s">
        <v>454</v>
      </c>
      <c r="J81" s="50" t="s">
        <v>109</v>
      </c>
      <c r="K81" s="49" t="s">
        <v>279</v>
      </c>
      <c r="L81" s="50" t="s">
        <v>280</v>
      </c>
      <c r="M81" s="50" t="s">
        <v>787</v>
      </c>
      <c r="N81" s="49" t="s">
        <v>115</v>
      </c>
      <c r="O81" s="50" t="s">
        <v>115</v>
      </c>
      <c r="P81" s="50" t="s">
        <v>115</v>
      </c>
      <c r="Q81" s="49" t="s">
        <v>378</v>
      </c>
      <c r="R81" s="51" t="s">
        <v>788</v>
      </c>
      <c r="S81" s="52" t="s">
        <v>789</v>
      </c>
      <c r="T81" s="53" t="s">
        <v>790</v>
      </c>
      <c r="U81" s="50" t="s">
        <v>120</v>
      </c>
      <c r="V81" s="50" t="s">
        <v>160</v>
      </c>
    </row>
    <row r="82" ht="22.5" customHeight="1">
      <c r="A82" s="49">
        <v>81.0</v>
      </c>
      <c r="B82" s="50" t="s">
        <v>791</v>
      </c>
      <c r="C82" s="50" t="s">
        <v>792</v>
      </c>
      <c r="D82" s="50" t="s">
        <v>793</v>
      </c>
      <c r="E82" s="49" t="s">
        <v>105</v>
      </c>
      <c r="F82" s="50" t="s">
        <v>794</v>
      </c>
      <c r="G82" s="50" t="s">
        <v>126</v>
      </c>
      <c r="H82" s="49" t="s">
        <v>795</v>
      </c>
      <c r="I82" s="50" t="s">
        <v>796</v>
      </c>
      <c r="J82" s="50" t="s">
        <v>109</v>
      </c>
      <c r="K82" s="49" t="s">
        <v>797</v>
      </c>
      <c r="L82" s="50" t="s">
        <v>280</v>
      </c>
      <c r="M82" s="50" t="s">
        <v>798</v>
      </c>
      <c r="N82" s="49" t="s">
        <v>115</v>
      </c>
      <c r="O82" s="50" t="s">
        <v>115</v>
      </c>
      <c r="P82" s="50" t="s">
        <v>115</v>
      </c>
      <c r="Q82" s="49" t="s">
        <v>156</v>
      </c>
      <c r="R82" s="51" t="s">
        <v>799</v>
      </c>
      <c r="S82" s="52" t="s">
        <v>800</v>
      </c>
      <c r="T82" s="53" t="s">
        <v>801</v>
      </c>
      <c r="U82" s="50">
        <v>2.5</v>
      </c>
      <c r="V82" s="50" t="s">
        <v>160</v>
      </c>
    </row>
    <row r="83" ht="22.5" hidden="1" customHeight="1">
      <c r="A83" s="49">
        <v>82.0</v>
      </c>
      <c r="B83" s="50" t="s">
        <v>802</v>
      </c>
      <c r="C83" s="50" t="s">
        <v>193</v>
      </c>
      <c r="D83" s="50" t="s">
        <v>803</v>
      </c>
      <c r="E83" s="49" t="s">
        <v>105</v>
      </c>
      <c r="F83" s="50">
        <v>3.0</v>
      </c>
      <c r="G83" s="50" t="s">
        <v>106</v>
      </c>
      <c r="H83" s="49" t="s">
        <v>804</v>
      </c>
      <c r="I83" s="50" t="s">
        <v>569</v>
      </c>
      <c r="J83" s="50" t="s">
        <v>109</v>
      </c>
      <c r="K83" s="49" t="s">
        <v>805</v>
      </c>
      <c r="L83" s="50" t="s">
        <v>245</v>
      </c>
      <c r="M83" s="50" t="s">
        <v>494</v>
      </c>
      <c r="N83" s="49" t="s">
        <v>357</v>
      </c>
      <c r="O83" s="50" t="s">
        <v>377</v>
      </c>
      <c r="P83" s="50" t="s">
        <v>115</v>
      </c>
      <c r="Q83" s="49" t="s">
        <v>378</v>
      </c>
      <c r="R83" s="51" t="s">
        <v>806</v>
      </c>
      <c r="S83" s="52" t="s">
        <v>807</v>
      </c>
      <c r="T83" s="53" t="s">
        <v>808</v>
      </c>
      <c r="U83" s="50" t="s">
        <v>120</v>
      </c>
      <c r="V83" s="50" t="s">
        <v>121</v>
      </c>
    </row>
    <row r="84" ht="22.5" customHeight="1">
      <c r="A84" s="49">
        <v>83.0</v>
      </c>
      <c r="B84" s="50" t="s">
        <v>733</v>
      </c>
      <c r="C84" s="50" t="s">
        <v>734</v>
      </c>
      <c r="D84" s="50" t="s">
        <v>735</v>
      </c>
      <c r="E84" s="49" t="s">
        <v>105</v>
      </c>
      <c r="F84" s="50">
        <v>3.0</v>
      </c>
      <c r="G84" s="50" t="s">
        <v>750</v>
      </c>
      <c r="H84" s="49" t="s">
        <v>492</v>
      </c>
      <c r="I84" s="50" t="s">
        <v>404</v>
      </c>
      <c r="J84" s="50" t="s">
        <v>109</v>
      </c>
      <c r="K84" s="49" t="s">
        <v>809</v>
      </c>
      <c r="L84" s="50" t="s">
        <v>280</v>
      </c>
      <c r="M84" s="50" t="s">
        <v>738</v>
      </c>
      <c r="N84" s="49" t="s">
        <v>115</v>
      </c>
      <c r="O84" s="50" t="s">
        <v>115</v>
      </c>
      <c r="P84" s="50" t="s">
        <v>115</v>
      </c>
      <c r="Q84" s="49" t="s">
        <v>810</v>
      </c>
      <c r="R84" s="51" t="s">
        <v>811</v>
      </c>
      <c r="S84" s="52" t="s">
        <v>812</v>
      </c>
      <c r="T84" s="53" t="s">
        <v>813</v>
      </c>
      <c r="U84" s="50" t="s">
        <v>120</v>
      </c>
      <c r="V84" s="50" t="s">
        <v>160</v>
      </c>
    </row>
    <row r="85" ht="22.5" customHeight="1">
      <c r="A85" s="49">
        <v>84.0</v>
      </c>
      <c r="B85" s="50" t="s">
        <v>814</v>
      </c>
      <c r="C85" s="50" t="s">
        <v>815</v>
      </c>
      <c r="D85" s="50" t="s">
        <v>816</v>
      </c>
      <c r="E85" s="49" t="s">
        <v>105</v>
      </c>
      <c r="F85" s="50">
        <v>3.0</v>
      </c>
      <c r="G85" s="50" t="s">
        <v>106</v>
      </c>
      <c r="H85" s="49" t="s">
        <v>786</v>
      </c>
      <c r="I85" s="50" t="s">
        <v>817</v>
      </c>
      <c r="J85" s="50" t="s">
        <v>109</v>
      </c>
      <c r="K85" s="49" t="s">
        <v>818</v>
      </c>
      <c r="L85" s="50" t="s">
        <v>245</v>
      </c>
      <c r="M85" s="50" t="s">
        <v>819</v>
      </c>
      <c r="N85" s="49" t="s">
        <v>357</v>
      </c>
      <c r="O85" s="50" t="s">
        <v>115</v>
      </c>
      <c r="P85" s="50" t="s">
        <v>115</v>
      </c>
      <c r="Q85" s="49" t="s">
        <v>378</v>
      </c>
      <c r="R85" s="51" t="s">
        <v>820</v>
      </c>
      <c r="S85" s="52" t="s">
        <v>821</v>
      </c>
      <c r="T85" s="53" t="s">
        <v>822</v>
      </c>
      <c r="U85" s="50">
        <v>2.3</v>
      </c>
      <c r="V85" s="50" t="s">
        <v>121</v>
      </c>
    </row>
    <row r="86" ht="22.5" customHeight="1">
      <c r="A86" s="49">
        <v>85.0</v>
      </c>
      <c r="B86" s="50" t="s">
        <v>823</v>
      </c>
      <c r="C86" s="50" t="s">
        <v>824</v>
      </c>
      <c r="D86" s="50" t="s">
        <v>825</v>
      </c>
      <c r="E86" s="49" t="s">
        <v>105</v>
      </c>
      <c r="F86" s="50">
        <v>4.0</v>
      </c>
      <c r="G86" s="50" t="s">
        <v>106</v>
      </c>
      <c r="H86" s="49" t="s">
        <v>786</v>
      </c>
      <c r="I86" s="50" t="s">
        <v>817</v>
      </c>
      <c r="J86" s="50" t="s">
        <v>109</v>
      </c>
      <c r="K86" s="49" t="s">
        <v>826</v>
      </c>
      <c r="L86" s="50" t="s">
        <v>280</v>
      </c>
      <c r="M86" s="50" t="s">
        <v>686</v>
      </c>
      <c r="N86" s="49" t="s">
        <v>115</v>
      </c>
      <c r="O86" s="50" t="s">
        <v>115</v>
      </c>
      <c r="P86" s="50" t="s">
        <v>827</v>
      </c>
      <c r="Q86" s="49" t="s">
        <v>810</v>
      </c>
      <c r="R86" s="51" t="s">
        <v>828</v>
      </c>
      <c r="S86" s="52" t="s">
        <v>829</v>
      </c>
      <c r="T86" s="53" t="s">
        <v>830</v>
      </c>
      <c r="U86" s="50" t="s">
        <v>120</v>
      </c>
      <c r="V86" s="50" t="s">
        <v>121</v>
      </c>
    </row>
    <row r="87" ht="22.5" customHeight="1">
      <c r="A87" s="49">
        <v>86.0</v>
      </c>
      <c r="B87" s="50" t="s">
        <v>831</v>
      </c>
      <c r="C87" s="50" t="s">
        <v>832</v>
      </c>
      <c r="D87" s="50" t="s">
        <v>833</v>
      </c>
      <c r="E87" s="49" t="s">
        <v>105</v>
      </c>
      <c r="F87" s="50">
        <v>4.0</v>
      </c>
      <c r="G87" s="50" t="s">
        <v>106</v>
      </c>
      <c r="H87" s="49" t="s">
        <v>834</v>
      </c>
      <c r="I87" s="50" t="s">
        <v>242</v>
      </c>
      <c r="J87" s="50" t="s">
        <v>109</v>
      </c>
      <c r="K87" s="49" t="s">
        <v>835</v>
      </c>
      <c r="L87" s="50" t="s">
        <v>280</v>
      </c>
      <c r="M87" s="50" t="s">
        <v>798</v>
      </c>
      <c r="N87" s="49" t="s">
        <v>115</v>
      </c>
      <c r="O87" s="50" t="s">
        <v>115</v>
      </c>
      <c r="P87" s="50" t="s">
        <v>115</v>
      </c>
      <c r="Q87" s="49" t="s">
        <v>156</v>
      </c>
      <c r="R87" s="51" t="s">
        <v>836</v>
      </c>
      <c r="S87" s="52" t="s">
        <v>837</v>
      </c>
      <c r="T87" s="53" t="s">
        <v>838</v>
      </c>
      <c r="U87" s="50">
        <v>3.0</v>
      </c>
      <c r="V87" s="50" t="s">
        <v>121</v>
      </c>
    </row>
    <row r="88" ht="22.5" customHeight="1">
      <c r="A88" s="49">
        <v>87.0</v>
      </c>
      <c r="B88" s="50" t="s">
        <v>839</v>
      </c>
      <c r="C88" s="50" t="s">
        <v>699</v>
      </c>
      <c r="D88" s="50" t="s">
        <v>840</v>
      </c>
      <c r="E88" s="49" t="s">
        <v>105</v>
      </c>
      <c r="F88" s="50">
        <v>4.0</v>
      </c>
      <c r="G88" s="50" t="s">
        <v>106</v>
      </c>
      <c r="H88" s="49" t="s">
        <v>841</v>
      </c>
      <c r="I88" s="50" t="s">
        <v>842</v>
      </c>
      <c r="J88" s="50" t="s">
        <v>109</v>
      </c>
      <c r="K88" s="49" t="s">
        <v>843</v>
      </c>
      <c r="L88" s="50" t="s">
        <v>280</v>
      </c>
      <c r="M88" s="50" t="s">
        <v>798</v>
      </c>
      <c r="N88" s="49" t="s">
        <v>115</v>
      </c>
      <c r="O88" s="50" t="s">
        <v>115</v>
      </c>
      <c r="P88" s="50" t="s">
        <v>377</v>
      </c>
      <c r="Q88" s="49" t="s">
        <v>156</v>
      </c>
      <c r="R88" s="51" t="s">
        <v>844</v>
      </c>
      <c r="S88" s="52" t="s">
        <v>845</v>
      </c>
      <c r="T88" s="53" t="s">
        <v>846</v>
      </c>
      <c r="U88" s="50" t="s">
        <v>120</v>
      </c>
      <c r="V88" s="50" t="s">
        <v>121</v>
      </c>
    </row>
  </sheetData>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location="collapse_1" ref="R80"/>
    <hyperlink r:id="rId80" ref="R81"/>
    <hyperlink r:id="rId81" ref="R82"/>
    <hyperlink r:id="rId82" ref="R83"/>
    <hyperlink r:id="rId83" ref="R84"/>
    <hyperlink r:id="rId84" ref="R85"/>
    <hyperlink r:id="rId85" ref="R86"/>
    <hyperlink r:id="rId86" ref="R87"/>
    <hyperlink r:id="rId87" ref="R88"/>
  </hyperlinks>
  <drawing r:id="rId88"/>
  <tableParts count="1">
    <tablePart r:id="rId9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25"/>
    <col customWidth="1" min="2" max="2" width="26.5"/>
    <col customWidth="1" min="3" max="3" width="59.5"/>
    <col customWidth="1" min="4" max="4" width="45.5"/>
    <col customWidth="1" min="5" max="5" width="24.0"/>
    <col customWidth="1" min="6" max="6" width="41.13"/>
    <col customWidth="1" min="7" max="7" width="33.5"/>
    <col customWidth="1" min="8" max="8" width="83.13"/>
    <col customWidth="1" min="9" max="9" width="67.88"/>
    <col customWidth="1" min="10" max="10" width="22.13"/>
    <col customWidth="1" min="12" max="12" width="29.25"/>
  </cols>
  <sheetData>
    <row r="1">
      <c r="A1" s="55" t="s">
        <v>847</v>
      </c>
      <c r="B1" s="55" t="s">
        <v>82</v>
      </c>
      <c r="C1" s="55" t="s">
        <v>848</v>
      </c>
      <c r="D1" s="55" t="s">
        <v>849</v>
      </c>
      <c r="E1" s="55" t="s">
        <v>850</v>
      </c>
      <c r="F1" s="55" t="s">
        <v>851</v>
      </c>
      <c r="G1" s="55" t="s">
        <v>852</v>
      </c>
      <c r="H1" s="55" t="s">
        <v>853</v>
      </c>
      <c r="I1" s="55" t="s">
        <v>854</v>
      </c>
      <c r="J1" s="55" t="s">
        <v>855</v>
      </c>
      <c r="K1" s="55" t="s">
        <v>856</v>
      </c>
      <c r="L1" s="56" t="s">
        <v>857</v>
      </c>
    </row>
    <row r="2">
      <c r="A2" s="57" t="s">
        <v>858</v>
      </c>
      <c r="B2" s="57" t="s">
        <v>859</v>
      </c>
      <c r="C2" s="57" t="s">
        <v>860</v>
      </c>
      <c r="D2" s="57" t="s">
        <v>861</v>
      </c>
      <c r="E2" s="57" t="s">
        <v>862</v>
      </c>
      <c r="F2" s="58" t="s">
        <v>863</v>
      </c>
      <c r="G2" s="59" t="s">
        <v>864</v>
      </c>
      <c r="H2" s="60" t="s">
        <v>865</v>
      </c>
      <c r="I2" s="61" t="s">
        <v>866</v>
      </c>
      <c r="J2" s="58" t="s">
        <v>867</v>
      </c>
      <c r="L2" s="58" t="s">
        <v>868</v>
      </c>
    </row>
    <row r="3">
      <c r="A3" s="57" t="s">
        <v>869</v>
      </c>
      <c r="B3" s="57" t="s">
        <v>870</v>
      </c>
      <c r="C3" s="57" t="s">
        <v>871</v>
      </c>
      <c r="D3" s="62">
        <v>46218.0</v>
      </c>
      <c r="E3" s="57" t="s">
        <v>872</v>
      </c>
      <c r="F3" s="63" t="s">
        <v>873</v>
      </c>
      <c r="G3" s="59" t="s">
        <v>874</v>
      </c>
      <c r="H3" s="64" t="s">
        <v>875</v>
      </c>
      <c r="I3" s="65" t="s">
        <v>876</v>
      </c>
      <c r="J3" s="58" t="s">
        <v>877</v>
      </c>
      <c r="L3" s="66" t="s">
        <v>868</v>
      </c>
    </row>
    <row r="4">
      <c r="A4" s="57" t="s">
        <v>878</v>
      </c>
      <c r="B4" s="57" t="s">
        <v>170</v>
      </c>
      <c r="C4" s="57" t="s">
        <v>879</v>
      </c>
      <c r="D4" s="57" t="s">
        <v>880</v>
      </c>
      <c r="E4" s="57" t="s">
        <v>862</v>
      </c>
      <c r="F4" s="63" t="s">
        <v>881</v>
      </c>
      <c r="G4" s="59" t="s">
        <v>882</v>
      </c>
      <c r="H4" s="64" t="s">
        <v>883</v>
      </c>
      <c r="I4" s="65" t="s">
        <v>884</v>
      </c>
      <c r="J4" s="58" t="s">
        <v>885</v>
      </c>
    </row>
    <row r="5">
      <c r="A5" s="57" t="s">
        <v>886</v>
      </c>
      <c r="B5" s="57" t="s">
        <v>887</v>
      </c>
      <c r="C5" s="57" t="s">
        <v>888</v>
      </c>
      <c r="D5" s="57" t="s">
        <v>889</v>
      </c>
      <c r="E5" s="57" t="s">
        <v>862</v>
      </c>
      <c r="F5" s="63" t="s">
        <v>890</v>
      </c>
      <c r="G5" s="63" t="s">
        <v>891</v>
      </c>
      <c r="H5" s="64" t="s">
        <v>892</v>
      </c>
      <c r="I5" s="65" t="s">
        <v>893</v>
      </c>
      <c r="J5" s="58" t="s">
        <v>894</v>
      </c>
    </row>
    <row r="6">
      <c r="A6" s="57" t="s">
        <v>350</v>
      </c>
      <c r="B6" s="57" t="s">
        <v>351</v>
      </c>
      <c r="C6" s="57" t="s">
        <v>895</v>
      </c>
      <c r="D6" s="57" t="s">
        <v>896</v>
      </c>
      <c r="E6" s="57" t="s">
        <v>872</v>
      </c>
      <c r="F6" s="63" t="s">
        <v>897</v>
      </c>
      <c r="G6" s="67" t="s">
        <v>898</v>
      </c>
      <c r="H6" s="68" t="s">
        <v>899</v>
      </c>
      <c r="I6" s="69" t="s">
        <v>900</v>
      </c>
      <c r="J6" s="58" t="s">
        <v>901</v>
      </c>
    </row>
    <row r="7">
      <c r="A7" s="69" t="s">
        <v>418</v>
      </c>
      <c r="B7" s="69" t="s">
        <v>419</v>
      </c>
      <c r="C7" s="57" t="s">
        <v>902</v>
      </c>
      <c r="D7" s="69" t="s">
        <v>903</v>
      </c>
      <c r="E7" s="69" t="s">
        <v>862</v>
      </c>
      <c r="F7" s="63" t="s">
        <v>904</v>
      </c>
      <c r="G7" s="67" t="s">
        <v>905</v>
      </c>
      <c r="H7" s="68" t="s">
        <v>906</v>
      </c>
      <c r="J7" s="58" t="s">
        <v>907</v>
      </c>
    </row>
    <row r="8">
      <c r="A8" s="69" t="s">
        <v>250</v>
      </c>
      <c r="B8" s="69" t="s">
        <v>206</v>
      </c>
      <c r="C8" s="69" t="s">
        <v>908</v>
      </c>
      <c r="D8" s="70" t="s">
        <v>909</v>
      </c>
      <c r="E8" s="69" t="s">
        <v>872</v>
      </c>
      <c r="F8" s="71" t="s">
        <v>910</v>
      </c>
      <c r="G8" s="67" t="s">
        <v>911</v>
      </c>
      <c r="H8" s="69" t="s">
        <v>912</v>
      </c>
      <c r="I8" s="61" t="s">
        <v>913</v>
      </c>
      <c r="J8" s="63" t="s">
        <v>914</v>
      </c>
    </row>
    <row r="9">
      <c r="A9" s="69" t="s">
        <v>350</v>
      </c>
      <c r="B9" s="69" t="s">
        <v>351</v>
      </c>
      <c r="C9" s="69" t="s">
        <v>352</v>
      </c>
      <c r="D9" s="70" t="s">
        <v>915</v>
      </c>
      <c r="E9" s="69" t="s">
        <v>872</v>
      </c>
      <c r="F9" s="61" t="s">
        <v>897</v>
      </c>
      <c r="G9" s="67" t="s">
        <v>916</v>
      </c>
      <c r="H9" s="70" t="s">
        <v>917</v>
      </c>
      <c r="I9" s="69" t="s">
        <v>918</v>
      </c>
      <c r="J9" s="72" t="s">
        <v>919</v>
      </c>
    </row>
    <row r="10">
      <c r="A10" s="69" t="s">
        <v>920</v>
      </c>
      <c r="B10" s="69" t="s">
        <v>921</v>
      </c>
      <c r="C10" s="69" t="s">
        <v>922</v>
      </c>
      <c r="D10" s="69" t="s">
        <v>923</v>
      </c>
      <c r="E10" s="69" t="s">
        <v>862</v>
      </c>
      <c r="F10" s="61" t="s">
        <v>924</v>
      </c>
      <c r="G10" s="67" t="s">
        <v>925</v>
      </c>
      <c r="H10" s="70" t="s">
        <v>926</v>
      </c>
      <c r="I10" s="69" t="s">
        <v>927</v>
      </c>
      <c r="J10" s="72" t="s">
        <v>928</v>
      </c>
    </row>
    <row r="11">
      <c r="A11" s="69" t="s">
        <v>698</v>
      </c>
      <c r="B11" s="69" t="s">
        <v>699</v>
      </c>
      <c r="C11" s="69" t="s">
        <v>929</v>
      </c>
      <c r="D11" s="70" t="s">
        <v>930</v>
      </c>
      <c r="E11" s="69" t="s">
        <v>862</v>
      </c>
      <c r="F11" s="56" t="s">
        <v>931</v>
      </c>
      <c r="G11" s="70" t="s">
        <v>932</v>
      </c>
      <c r="H11" s="70" t="s">
        <v>933</v>
      </c>
      <c r="I11" s="65" t="s">
        <v>934</v>
      </c>
      <c r="J11" s="58" t="s">
        <v>935</v>
      </c>
    </row>
    <row r="12">
      <c r="A12" s="69" t="s">
        <v>418</v>
      </c>
      <c r="B12" s="69" t="s">
        <v>419</v>
      </c>
      <c r="C12" s="69" t="s">
        <v>460</v>
      </c>
      <c r="D12" s="69" t="s">
        <v>936</v>
      </c>
      <c r="E12" s="69" t="s">
        <v>862</v>
      </c>
      <c r="F12" s="61" t="s">
        <v>937</v>
      </c>
      <c r="G12" s="70" t="s">
        <v>938</v>
      </c>
      <c r="H12" s="70" t="s">
        <v>939</v>
      </c>
      <c r="I12" s="69" t="s">
        <v>940</v>
      </c>
      <c r="J12" s="58" t="s">
        <v>941</v>
      </c>
    </row>
    <row r="13">
      <c r="A13" s="69" t="s">
        <v>942</v>
      </c>
      <c r="B13" s="69" t="s">
        <v>419</v>
      </c>
      <c r="C13" s="69" t="s">
        <v>943</v>
      </c>
      <c r="D13" s="69" t="s">
        <v>944</v>
      </c>
      <c r="E13" s="69" t="s">
        <v>862</v>
      </c>
      <c r="F13" s="61" t="s">
        <v>945</v>
      </c>
      <c r="G13" s="69" t="s">
        <v>946</v>
      </c>
      <c r="H13" s="70" t="s">
        <v>947</v>
      </c>
      <c r="I13" s="69" t="s">
        <v>948</v>
      </c>
      <c r="J13" s="72" t="s">
        <v>949</v>
      </c>
    </row>
    <row r="14">
      <c r="A14" s="69" t="s">
        <v>567</v>
      </c>
      <c r="B14" s="69" t="s">
        <v>950</v>
      </c>
      <c r="C14" s="69" t="s">
        <v>104</v>
      </c>
      <c r="D14" s="69" t="s">
        <v>951</v>
      </c>
      <c r="E14" s="69" t="s">
        <v>862</v>
      </c>
      <c r="F14" s="61" t="s">
        <v>952</v>
      </c>
      <c r="G14" s="70" t="s">
        <v>953</v>
      </c>
      <c r="H14" s="69" t="s">
        <v>954</v>
      </c>
      <c r="I14" s="69" t="s">
        <v>955</v>
      </c>
      <c r="J14" s="72" t="s">
        <v>956</v>
      </c>
    </row>
    <row r="15">
      <c r="A15" s="69" t="s">
        <v>957</v>
      </c>
      <c r="B15" s="69" t="s">
        <v>162</v>
      </c>
      <c r="C15" s="69" t="s">
        <v>124</v>
      </c>
      <c r="D15" s="69" t="s">
        <v>958</v>
      </c>
      <c r="E15" s="69" t="s">
        <v>872</v>
      </c>
      <c r="F15" s="61" t="s">
        <v>959</v>
      </c>
      <c r="G15" s="70" t="s">
        <v>960</v>
      </c>
      <c r="H15" s="69" t="s">
        <v>961</v>
      </c>
      <c r="I15" s="69" t="s">
        <v>962</v>
      </c>
      <c r="J15" s="72" t="s">
        <v>963</v>
      </c>
    </row>
    <row r="16">
      <c r="A16" s="69" t="s">
        <v>886</v>
      </c>
      <c r="B16" s="69" t="s">
        <v>887</v>
      </c>
      <c r="C16" s="69" t="s">
        <v>888</v>
      </c>
      <c r="D16" s="69" t="s">
        <v>964</v>
      </c>
      <c r="E16" s="69" t="s">
        <v>862</v>
      </c>
      <c r="F16" s="61" t="s">
        <v>965</v>
      </c>
      <c r="G16" s="70" t="s">
        <v>966</v>
      </c>
      <c r="H16" s="69" t="s">
        <v>967</v>
      </c>
      <c r="I16" s="70" t="s">
        <v>893</v>
      </c>
      <c r="J16" s="61" t="s">
        <v>894</v>
      </c>
    </row>
    <row r="17">
      <c r="A17" s="69" t="s">
        <v>261</v>
      </c>
      <c r="B17" s="69" t="s">
        <v>262</v>
      </c>
      <c r="C17" s="69" t="s">
        <v>968</v>
      </c>
      <c r="D17" s="69" t="s">
        <v>969</v>
      </c>
      <c r="E17" s="69" t="s">
        <v>862</v>
      </c>
      <c r="F17" s="61" t="s">
        <v>970</v>
      </c>
      <c r="G17" s="69" t="s">
        <v>971</v>
      </c>
      <c r="H17" s="69" t="s">
        <v>972</v>
      </c>
      <c r="I17" s="69" t="s">
        <v>973</v>
      </c>
      <c r="J17" s="72" t="s">
        <v>974</v>
      </c>
    </row>
    <row r="18">
      <c r="D18" s="70"/>
    </row>
  </sheetData>
  <mergeCells count="2">
    <mergeCell ref="L2:O2"/>
    <mergeCell ref="L3:O3"/>
  </mergeCells>
  <hyperlinks>
    <hyperlink r:id="rId1" ref="L1"/>
    <hyperlink r:id="rId2" ref="F2"/>
    <hyperlink r:id="rId3" ref="H2"/>
    <hyperlink r:id="rId4" ref="I2"/>
    <hyperlink r:id="rId5" location="tab_registration" ref="J2"/>
    <hyperlink r:id="rId6" ref="L2"/>
    <hyperlink r:id="rId7" ref="F3"/>
    <hyperlink r:id="rId8" location="tab_overview" ref="J3"/>
    <hyperlink r:id="rId9" ref="L3"/>
    <hyperlink r:id="rId10" ref="F4"/>
    <hyperlink r:id="rId11" location="tab_overview" ref="J4"/>
    <hyperlink r:id="rId12" ref="F5"/>
    <hyperlink r:id="rId13" ref="G5"/>
    <hyperlink r:id="rId14" location="tab_overview" ref="J5"/>
    <hyperlink r:id="rId15" location="international" ref="F6"/>
    <hyperlink r:id="rId16" location="tab_overview" ref="J6"/>
    <hyperlink r:id="rId17" ref="F7"/>
    <hyperlink r:id="rId18" location="tab_overview" ref="J7"/>
    <hyperlink r:id="rId19" ref="F8"/>
    <hyperlink r:id="rId20" ref="I8"/>
    <hyperlink r:id="rId21" location="tab_costs" ref="J8"/>
    <hyperlink r:id="rId22" location="international" ref="F9"/>
    <hyperlink r:id="rId23" location="tab_overview" ref="J9"/>
    <hyperlink r:id="rId24" ref="F10"/>
    <hyperlink r:id="rId25" location="tab_costs" ref="J10"/>
    <hyperlink r:id="rId26" ref="F11"/>
    <hyperlink r:id="rId27" location="tab_overview" ref="J11"/>
    <hyperlink r:id="rId28" ref="F12"/>
    <hyperlink r:id="rId29" location="tab_costs" ref="J12"/>
    <hyperlink r:id="rId30" ref="F13"/>
    <hyperlink r:id="rId31" location="tab_overview" ref="J13"/>
    <hyperlink r:id="rId32" ref="F14"/>
    <hyperlink r:id="rId33" location="tab_costs" ref="J14"/>
    <hyperlink r:id="rId34" ref="F15"/>
    <hyperlink r:id="rId35" location="tab_overview" ref="J15"/>
    <hyperlink r:id="rId36" ref="F16"/>
    <hyperlink r:id="rId37" location="tab_overview" ref="J16"/>
    <hyperlink r:id="rId38" ref="F17"/>
    <hyperlink r:id="rId39" location="tab_costs" ref="J17"/>
  </hyperlinks>
  <drawing r:id="rId4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40.25"/>
    <col customWidth="1" min="3" max="3" width="58.88"/>
    <col customWidth="1" min="4" max="4" width="12.13"/>
    <col customWidth="1" min="6" max="6" width="47.13"/>
    <col customWidth="1" min="7" max="7" width="13.75"/>
    <col customWidth="1" min="10" max="10" width="28.75"/>
    <col customWidth="1" min="11" max="11" width="13.75"/>
    <col customWidth="1" min="12" max="12" width="46.0"/>
  </cols>
  <sheetData>
    <row r="1">
      <c r="A1" s="73"/>
      <c r="B1" s="73"/>
      <c r="C1" s="73"/>
      <c r="D1" s="73"/>
      <c r="E1" s="73"/>
      <c r="F1" s="73"/>
      <c r="G1" s="73"/>
      <c r="H1" s="73"/>
      <c r="I1" s="73"/>
      <c r="J1" s="73"/>
      <c r="K1" s="73"/>
      <c r="L1" s="73"/>
      <c r="M1" s="73"/>
    </row>
    <row r="2">
      <c r="A2" s="73"/>
      <c r="B2" s="73"/>
      <c r="C2" s="73"/>
      <c r="D2" s="73"/>
      <c r="E2" s="73"/>
      <c r="F2" s="73"/>
      <c r="G2" s="73"/>
      <c r="H2" s="73"/>
      <c r="I2" s="73"/>
      <c r="J2" s="73"/>
      <c r="K2" s="73"/>
      <c r="L2" s="73"/>
      <c r="M2" s="73"/>
    </row>
    <row r="3">
      <c r="A3" s="74" t="s">
        <v>975</v>
      </c>
      <c r="B3" s="75" t="s">
        <v>856</v>
      </c>
      <c r="C3" s="73"/>
      <c r="D3" s="76"/>
      <c r="E3" s="73"/>
      <c r="F3" s="77" t="s">
        <v>976</v>
      </c>
      <c r="G3" s="75" t="s">
        <v>856</v>
      </c>
      <c r="H3" s="73"/>
      <c r="I3" s="73"/>
      <c r="J3" s="78" t="s">
        <v>977</v>
      </c>
      <c r="K3" s="75" t="s">
        <v>856</v>
      </c>
      <c r="L3" s="73"/>
      <c r="M3" s="73"/>
    </row>
    <row r="4">
      <c r="A4" s="79" t="s">
        <v>978</v>
      </c>
      <c r="B4" s="80" t="b">
        <v>0</v>
      </c>
      <c r="C4" s="73"/>
      <c r="D4" s="73"/>
      <c r="E4" s="73"/>
      <c r="F4" s="79" t="s">
        <v>979</v>
      </c>
      <c r="G4" s="81" t="b">
        <v>0</v>
      </c>
      <c r="H4" s="73"/>
      <c r="I4" s="73"/>
      <c r="J4" s="79" t="s">
        <v>980</v>
      </c>
      <c r="K4" s="81" t="b">
        <v>0</v>
      </c>
      <c r="L4" s="73"/>
      <c r="M4" s="73"/>
    </row>
    <row r="5">
      <c r="A5" s="82" t="s">
        <v>981</v>
      </c>
      <c r="B5" s="73"/>
      <c r="C5" s="73"/>
      <c r="D5" s="73"/>
      <c r="E5" s="73"/>
      <c r="F5" s="79" t="s">
        <v>982</v>
      </c>
      <c r="G5" s="81" t="b">
        <v>0</v>
      </c>
      <c r="H5" s="73"/>
      <c r="I5" s="73"/>
      <c r="J5" s="79" t="s">
        <v>983</v>
      </c>
      <c r="K5" s="81" t="b">
        <v>0</v>
      </c>
      <c r="L5" s="73"/>
      <c r="M5" s="73"/>
    </row>
    <row r="6">
      <c r="A6" s="82" t="s">
        <v>984</v>
      </c>
      <c r="B6" s="73"/>
      <c r="C6" s="73"/>
      <c r="D6" s="73"/>
      <c r="E6" s="73"/>
      <c r="F6" s="79" t="s">
        <v>985</v>
      </c>
      <c r="G6" s="73"/>
      <c r="H6" s="73"/>
      <c r="I6" s="73"/>
      <c r="J6" s="79" t="s">
        <v>986</v>
      </c>
      <c r="K6" s="81" t="b">
        <v>0</v>
      </c>
      <c r="L6" s="73"/>
      <c r="M6" s="73"/>
    </row>
    <row r="7">
      <c r="A7" s="82" t="s">
        <v>987</v>
      </c>
      <c r="B7" s="73"/>
      <c r="C7" s="73"/>
      <c r="D7" s="73"/>
      <c r="E7" s="73"/>
      <c r="F7" s="82" t="s">
        <v>988</v>
      </c>
      <c r="G7" s="81" t="b">
        <v>0</v>
      </c>
      <c r="H7" s="73"/>
      <c r="I7" s="73"/>
      <c r="J7" s="79" t="s">
        <v>989</v>
      </c>
      <c r="K7" s="81" t="b">
        <v>0</v>
      </c>
      <c r="L7" s="73"/>
      <c r="M7" s="73"/>
    </row>
    <row r="8">
      <c r="A8" s="73"/>
      <c r="B8" s="73"/>
      <c r="C8" s="73"/>
      <c r="D8" s="73"/>
      <c r="E8" s="73"/>
      <c r="F8" s="82" t="s">
        <v>990</v>
      </c>
      <c r="G8" s="81" t="b">
        <v>0</v>
      </c>
      <c r="H8" s="73"/>
      <c r="I8" s="73"/>
      <c r="J8" s="79" t="s">
        <v>991</v>
      </c>
      <c r="K8" s="81" t="b">
        <v>0</v>
      </c>
      <c r="L8" s="73"/>
      <c r="M8" s="73"/>
    </row>
    <row r="9">
      <c r="A9" s="79" t="s">
        <v>992</v>
      </c>
      <c r="B9" s="81" t="b">
        <v>0</v>
      </c>
      <c r="C9" s="83" t="s">
        <v>993</v>
      </c>
      <c r="E9" s="73"/>
      <c r="F9" s="82" t="s">
        <v>994</v>
      </c>
      <c r="G9" s="81" t="b">
        <v>0</v>
      </c>
      <c r="H9" s="73"/>
      <c r="I9" s="73"/>
      <c r="J9" s="73"/>
      <c r="K9" s="73"/>
      <c r="L9" s="84" t="s">
        <v>995</v>
      </c>
    </row>
    <row r="10">
      <c r="A10" s="79" t="s">
        <v>996</v>
      </c>
      <c r="B10" s="81" t="b">
        <v>0</v>
      </c>
      <c r="E10" s="73"/>
      <c r="F10" s="82" t="s">
        <v>997</v>
      </c>
      <c r="G10" s="81" t="b">
        <v>0</v>
      </c>
      <c r="H10" s="73"/>
      <c r="I10" s="73"/>
      <c r="J10" s="79" t="s">
        <v>998</v>
      </c>
      <c r="K10" s="73"/>
      <c r="L10" s="85"/>
    </row>
    <row r="11">
      <c r="A11" s="79" t="s">
        <v>999</v>
      </c>
      <c r="B11" s="81" t="b">
        <v>0</v>
      </c>
      <c r="E11" s="73"/>
      <c r="F11" s="73"/>
      <c r="G11" s="73"/>
      <c r="H11" s="73"/>
      <c r="I11" s="73"/>
      <c r="J11" s="82" t="s">
        <v>1000</v>
      </c>
      <c r="K11" s="81" t="b">
        <v>0</v>
      </c>
      <c r="L11" s="85"/>
    </row>
    <row r="12">
      <c r="A12" s="79" t="s">
        <v>1001</v>
      </c>
      <c r="B12" s="81" t="b">
        <v>0</v>
      </c>
      <c r="E12" s="73"/>
      <c r="F12" s="79" t="s">
        <v>1002</v>
      </c>
      <c r="G12" s="73"/>
      <c r="H12" s="73"/>
      <c r="I12" s="73"/>
      <c r="J12" s="82" t="s">
        <v>1003</v>
      </c>
      <c r="K12" s="81" t="b">
        <v>0</v>
      </c>
      <c r="L12" s="85"/>
    </row>
    <row r="13">
      <c r="A13" s="79" t="s">
        <v>1004</v>
      </c>
      <c r="B13" s="81" t="b">
        <v>0</v>
      </c>
      <c r="E13" s="73"/>
      <c r="F13" s="82" t="s">
        <v>1005</v>
      </c>
      <c r="G13" s="81" t="b">
        <v>0</v>
      </c>
      <c r="H13" s="73"/>
      <c r="I13" s="73"/>
      <c r="J13" s="82" t="s">
        <v>1006</v>
      </c>
      <c r="K13" s="81" t="b">
        <v>0</v>
      </c>
      <c r="L13" s="85"/>
    </row>
    <row r="14">
      <c r="A14" s="79" t="s">
        <v>1007</v>
      </c>
      <c r="B14" s="81" t="b">
        <v>0</v>
      </c>
      <c r="E14" s="73"/>
      <c r="F14" s="82" t="s">
        <v>1008</v>
      </c>
      <c r="G14" s="81" t="b">
        <v>0</v>
      </c>
      <c r="H14" s="73"/>
      <c r="I14" s="73"/>
      <c r="J14" s="82" t="s">
        <v>1009</v>
      </c>
      <c r="K14" s="81" t="b">
        <v>0</v>
      </c>
      <c r="L14" s="85"/>
    </row>
    <row r="15">
      <c r="A15" s="79" t="s">
        <v>1010</v>
      </c>
      <c r="B15" s="81" t="b">
        <v>0</v>
      </c>
      <c r="C15" s="73"/>
      <c r="D15" s="73"/>
      <c r="E15" s="73"/>
      <c r="F15" s="82" t="s">
        <v>1011</v>
      </c>
      <c r="G15" s="81" t="b">
        <v>0</v>
      </c>
      <c r="H15" s="73"/>
      <c r="I15" s="73"/>
      <c r="J15" s="82" t="s">
        <v>1012</v>
      </c>
      <c r="K15" s="81" t="b">
        <v>0</v>
      </c>
      <c r="L15" s="85"/>
    </row>
    <row r="16">
      <c r="A16" s="82" t="s">
        <v>1013</v>
      </c>
      <c r="B16" s="73"/>
      <c r="C16" s="73"/>
      <c r="D16" s="73"/>
      <c r="E16" s="73"/>
      <c r="F16" s="73"/>
      <c r="G16" s="73"/>
      <c r="H16" s="73"/>
      <c r="I16" s="73"/>
      <c r="J16" s="73"/>
      <c r="K16" s="73"/>
      <c r="L16" s="85"/>
    </row>
    <row r="17">
      <c r="A17" s="73"/>
      <c r="B17" s="73"/>
      <c r="C17" s="73"/>
      <c r="D17" s="73"/>
      <c r="E17" s="73"/>
      <c r="F17" s="79" t="s">
        <v>1014</v>
      </c>
      <c r="G17" s="73"/>
      <c r="H17" s="73"/>
      <c r="I17" s="73"/>
      <c r="J17" s="79" t="s">
        <v>1015</v>
      </c>
      <c r="K17" s="81" t="b">
        <v>0</v>
      </c>
      <c r="L17" s="85"/>
    </row>
    <row r="18">
      <c r="A18" s="73"/>
      <c r="B18" s="73"/>
      <c r="C18" s="73"/>
      <c r="D18" s="73"/>
      <c r="E18" s="73"/>
      <c r="F18" s="82" t="s">
        <v>1016</v>
      </c>
      <c r="G18" s="81" t="b">
        <v>0</v>
      </c>
      <c r="H18" s="73"/>
      <c r="I18" s="73"/>
      <c r="J18" s="79" t="s">
        <v>1017</v>
      </c>
      <c r="K18" s="81" t="b">
        <v>0</v>
      </c>
      <c r="L18" s="73"/>
      <c r="M18" s="73"/>
    </row>
    <row r="19">
      <c r="A19" s="73"/>
      <c r="B19" s="73"/>
      <c r="C19" s="73"/>
      <c r="D19" s="73"/>
      <c r="E19" s="73"/>
      <c r="F19" s="82" t="s">
        <v>1018</v>
      </c>
      <c r="G19" s="81" t="b">
        <v>0</v>
      </c>
      <c r="H19" s="73"/>
      <c r="I19" s="73"/>
      <c r="J19" s="79" t="s">
        <v>1019</v>
      </c>
      <c r="K19" s="81" t="b">
        <v>0</v>
      </c>
      <c r="L19" s="73"/>
      <c r="M19" s="73"/>
    </row>
    <row r="20">
      <c r="A20" s="73"/>
      <c r="B20" s="73"/>
      <c r="C20" s="73"/>
      <c r="D20" s="73"/>
      <c r="E20" s="73"/>
      <c r="F20" s="82" t="s">
        <v>1020</v>
      </c>
      <c r="G20" s="81" t="b">
        <v>0</v>
      </c>
      <c r="H20" s="73"/>
      <c r="I20" s="73"/>
      <c r="J20" s="79" t="s">
        <v>1021</v>
      </c>
      <c r="K20" s="81" t="b">
        <v>0</v>
      </c>
      <c r="L20" s="73"/>
      <c r="M20" s="73"/>
    </row>
    <row r="21">
      <c r="A21" s="73"/>
      <c r="B21" s="73"/>
      <c r="C21" s="73"/>
      <c r="D21" s="73"/>
      <c r="E21" s="73"/>
      <c r="F21" s="73"/>
      <c r="G21" s="73"/>
      <c r="H21" s="73"/>
      <c r="I21" s="73"/>
      <c r="J21" s="73"/>
      <c r="K21" s="73"/>
      <c r="L21" s="73"/>
      <c r="M21" s="73"/>
    </row>
    <row r="22">
      <c r="A22" s="86" t="s">
        <v>1022</v>
      </c>
      <c r="B22" s="75" t="s">
        <v>856</v>
      </c>
      <c r="C22" s="73"/>
      <c r="D22" s="73"/>
      <c r="E22" s="73"/>
      <c r="F22" s="87" t="s">
        <v>1023</v>
      </c>
      <c r="G22" s="73"/>
      <c r="H22" s="73"/>
      <c r="I22" s="73"/>
      <c r="J22" s="88" t="s">
        <v>1024</v>
      </c>
      <c r="K22" s="73"/>
      <c r="L22" s="73"/>
      <c r="M22" s="73"/>
    </row>
    <row r="23">
      <c r="A23" s="79" t="s">
        <v>1025</v>
      </c>
      <c r="B23" s="81" t="b">
        <v>0</v>
      </c>
      <c r="C23" s="73"/>
      <c r="D23" s="73"/>
      <c r="E23" s="73"/>
      <c r="F23" s="82" t="s">
        <v>1026</v>
      </c>
      <c r="G23" s="81" t="b">
        <v>0</v>
      </c>
      <c r="H23" s="73"/>
      <c r="I23" s="73"/>
      <c r="J23" s="89" t="s">
        <v>1027</v>
      </c>
      <c r="K23" s="81" t="b">
        <v>0</v>
      </c>
      <c r="L23" s="73"/>
      <c r="M23" s="73"/>
    </row>
    <row r="24">
      <c r="A24" s="79" t="s">
        <v>1028</v>
      </c>
      <c r="B24" s="81" t="b">
        <v>0</v>
      </c>
      <c r="C24" s="73"/>
      <c r="D24" s="73"/>
      <c r="E24" s="73"/>
      <c r="F24" s="82" t="s">
        <v>1029</v>
      </c>
      <c r="G24" s="81" t="b">
        <v>0</v>
      </c>
      <c r="H24" s="73"/>
      <c r="I24" s="73"/>
      <c r="J24" s="82" t="s">
        <v>1030</v>
      </c>
      <c r="K24" s="81" t="b">
        <v>0</v>
      </c>
      <c r="L24" s="73"/>
      <c r="M24" s="73"/>
    </row>
    <row r="25">
      <c r="A25" s="79" t="s">
        <v>1031</v>
      </c>
      <c r="B25" s="81" t="b">
        <v>0</v>
      </c>
      <c r="C25" s="73"/>
      <c r="D25" s="73"/>
      <c r="E25" s="73"/>
      <c r="F25" s="82" t="s">
        <v>1032</v>
      </c>
      <c r="G25" s="81" t="b">
        <v>0</v>
      </c>
      <c r="H25" s="73"/>
      <c r="I25" s="73"/>
      <c r="J25" s="82" t="s">
        <v>1033</v>
      </c>
      <c r="K25" s="81" t="b">
        <v>0</v>
      </c>
      <c r="L25" s="73"/>
      <c r="M25" s="73"/>
    </row>
    <row r="26">
      <c r="A26" s="73"/>
      <c r="B26" s="73"/>
      <c r="C26" s="73"/>
      <c r="D26" s="73"/>
      <c r="E26" s="73"/>
      <c r="F26" s="82" t="s">
        <v>1034</v>
      </c>
      <c r="G26" s="81" t="b">
        <v>0</v>
      </c>
      <c r="H26" s="73"/>
      <c r="I26" s="73"/>
      <c r="J26" s="82" t="s">
        <v>1035</v>
      </c>
      <c r="K26" s="81" t="b">
        <v>0</v>
      </c>
      <c r="L26" s="73"/>
      <c r="M26" s="73"/>
    </row>
    <row r="27">
      <c r="A27" s="79" t="s">
        <v>1036</v>
      </c>
      <c r="B27" s="81" t="b">
        <v>0</v>
      </c>
      <c r="C27" s="73"/>
      <c r="D27" s="73"/>
      <c r="E27" s="73"/>
      <c r="F27" s="73"/>
      <c r="G27" s="73"/>
      <c r="H27" s="73"/>
      <c r="I27" s="73"/>
      <c r="J27" s="82" t="s">
        <v>1037</v>
      </c>
      <c r="K27" s="81" t="b">
        <v>0</v>
      </c>
      <c r="L27" s="73"/>
      <c r="M27" s="73"/>
    </row>
    <row r="28">
      <c r="A28" s="82" t="s">
        <v>1038</v>
      </c>
      <c r="B28" s="73"/>
      <c r="C28" s="73"/>
      <c r="D28" s="73"/>
      <c r="E28" s="73"/>
      <c r="F28" s="79" t="s">
        <v>1039</v>
      </c>
      <c r="G28" s="81" t="b">
        <v>0</v>
      </c>
      <c r="H28" s="73"/>
      <c r="I28" s="73"/>
      <c r="J28" s="73"/>
      <c r="K28" s="73"/>
      <c r="L28" s="73"/>
      <c r="M28" s="73"/>
    </row>
    <row r="29">
      <c r="A29" s="82" t="s">
        <v>1040</v>
      </c>
      <c r="B29" s="73"/>
      <c r="C29" s="73"/>
      <c r="D29" s="73"/>
      <c r="E29" s="73"/>
      <c r="F29" s="79" t="s">
        <v>1041</v>
      </c>
      <c r="G29" s="81" t="b">
        <v>0</v>
      </c>
      <c r="H29" s="73"/>
      <c r="I29" s="73"/>
      <c r="J29" s="79" t="s">
        <v>1042</v>
      </c>
      <c r="K29" s="81" t="b">
        <v>0</v>
      </c>
      <c r="L29" s="73"/>
      <c r="M29" s="73"/>
    </row>
    <row r="30">
      <c r="A30" s="82" t="s">
        <v>1043</v>
      </c>
      <c r="B30" s="73"/>
      <c r="C30" s="73"/>
      <c r="D30" s="73"/>
      <c r="E30" s="73"/>
      <c r="F30" s="73"/>
      <c r="G30" s="73"/>
      <c r="H30" s="73"/>
      <c r="I30" s="73"/>
      <c r="J30" s="79" t="s">
        <v>1044</v>
      </c>
      <c r="K30" s="81" t="b">
        <v>0</v>
      </c>
      <c r="L30" s="73"/>
      <c r="M30" s="73"/>
    </row>
    <row r="31">
      <c r="A31" s="73"/>
      <c r="B31" s="73"/>
      <c r="C31" s="73"/>
      <c r="D31" s="73"/>
      <c r="E31" s="73"/>
      <c r="F31" s="79" t="s">
        <v>1045</v>
      </c>
      <c r="G31" s="81" t="b">
        <v>0</v>
      </c>
      <c r="H31" s="73"/>
      <c r="I31" s="73"/>
      <c r="J31" s="79" t="s">
        <v>1046</v>
      </c>
      <c r="K31" s="81" t="b">
        <v>0</v>
      </c>
      <c r="L31" s="73"/>
      <c r="M31" s="73"/>
    </row>
    <row r="32">
      <c r="A32" s="79" t="s">
        <v>1047</v>
      </c>
      <c r="B32" s="81" t="b">
        <v>0</v>
      </c>
      <c r="C32" s="73"/>
      <c r="D32" s="73"/>
      <c r="E32" s="73"/>
      <c r="F32" s="79" t="s">
        <v>1048</v>
      </c>
      <c r="G32" s="81" t="b">
        <v>0</v>
      </c>
      <c r="H32" s="73"/>
      <c r="I32" s="73"/>
      <c r="J32" s="79" t="s">
        <v>1049</v>
      </c>
      <c r="K32" s="81" t="b">
        <v>0</v>
      </c>
      <c r="L32" s="73"/>
      <c r="M32" s="73"/>
    </row>
    <row r="33">
      <c r="A33" s="82" t="s">
        <v>1050</v>
      </c>
      <c r="B33" s="81" t="b">
        <v>0</v>
      </c>
      <c r="C33" s="73"/>
      <c r="D33" s="73"/>
      <c r="E33" s="73"/>
      <c r="F33" s="79" t="s">
        <v>1051</v>
      </c>
      <c r="G33" s="81" t="b">
        <v>0</v>
      </c>
      <c r="H33" s="73"/>
      <c r="I33" s="73"/>
      <c r="J33" s="73"/>
      <c r="K33" s="73"/>
      <c r="L33" s="73"/>
      <c r="M33" s="73"/>
    </row>
    <row r="34">
      <c r="A34" s="73"/>
      <c r="B34" s="73"/>
      <c r="C34" s="73"/>
      <c r="D34" s="73"/>
      <c r="E34" s="73"/>
      <c r="F34" s="73"/>
      <c r="G34" s="73"/>
      <c r="H34" s="73"/>
      <c r="I34" s="73"/>
      <c r="J34" s="73"/>
      <c r="K34" s="73"/>
      <c r="L34" s="73"/>
      <c r="M34" s="73"/>
    </row>
    <row r="35">
      <c r="A35" s="79" t="s">
        <v>1052</v>
      </c>
      <c r="B35" s="81" t="b">
        <v>0</v>
      </c>
      <c r="C35" s="73"/>
      <c r="D35" s="73"/>
      <c r="E35" s="73"/>
      <c r="F35" s="73"/>
      <c r="G35" s="73"/>
      <c r="H35" s="73"/>
      <c r="I35" s="73"/>
      <c r="J35" s="73"/>
      <c r="K35" s="73"/>
      <c r="L35" s="73"/>
      <c r="M35" s="73"/>
    </row>
    <row r="36">
      <c r="A36" s="82" t="s">
        <v>1053</v>
      </c>
      <c r="B36" s="73"/>
      <c r="C36" s="73"/>
      <c r="D36" s="73"/>
      <c r="E36" s="73"/>
      <c r="F36" s="73"/>
      <c r="G36" s="73"/>
      <c r="H36" s="73"/>
      <c r="I36" s="73"/>
      <c r="J36" s="73"/>
      <c r="K36" s="73"/>
      <c r="L36" s="73"/>
      <c r="M36" s="73"/>
    </row>
    <row r="37">
      <c r="A37" s="82" t="s">
        <v>1054</v>
      </c>
      <c r="B37" s="73"/>
      <c r="C37" s="73"/>
      <c r="D37" s="73"/>
      <c r="E37" s="73"/>
      <c r="F37" s="73"/>
      <c r="G37" s="73"/>
      <c r="H37" s="73"/>
      <c r="I37" s="73"/>
      <c r="J37" s="73"/>
      <c r="K37" s="73"/>
      <c r="L37" s="73"/>
      <c r="M37" s="73"/>
    </row>
    <row r="38">
      <c r="A38" s="82" t="s">
        <v>1055</v>
      </c>
      <c r="B38" s="73"/>
      <c r="C38" s="73"/>
      <c r="D38" s="73"/>
      <c r="E38" s="73"/>
      <c r="F38" s="73"/>
      <c r="G38" s="73"/>
      <c r="H38" s="73"/>
      <c r="I38" s="73"/>
      <c r="J38" s="73"/>
      <c r="K38" s="73"/>
      <c r="L38" s="73"/>
      <c r="M38" s="73"/>
    </row>
    <row r="39">
      <c r="A39" s="82" t="s">
        <v>1056</v>
      </c>
      <c r="B39" s="73"/>
      <c r="C39" s="73"/>
      <c r="D39" s="73"/>
      <c r="E39" s="73"/>
      <c r="F39" s="73"/>
      <c r="G39" s="73"/>
      <c r="H39" s="73"/>
      <c r="I39" s="73"/>
      <c r="J39" s="73"/>
      <c r="K39" s="73"/>
      <c r="L39" s="73"/>
      <c r="M39" s="73"/>
    </row>
    <row r="40">
      <c r="A40" s="73"/>
      <c r="B40" s="73"/>
      <c r="C40" s="73"/>
      <c r="D40" s="73"/>
      <c r="E40" s="73"/>
      <c r="F40" s="73"/>
      <c r="G40" s="73"/>
      <c r="H40" s="73"/>
      <c r="I40" s="73"/>
      <c r="J40" s="73"/>
      <c r="K40" s="73"/>
      <c r="L40" s="73"/>
      <c r="M40" s="73"/>
    </row>
    <row r="41">
      <c r="A41" s="90" t="s">
        <v>1057</v>
      </c>
      <c r="B41" s="75" t="s">
        <v>856</v>
      </c>
      <c r="C41" s="73"/>
      <c r="D41" s="73"/>
      <c r="E41" s="73"/>
      <c r="F41" s="78" t="s">
        <v>1058</v>
      </c>
      <c r="G41" s="75" t="s">
        <v>856</v>
      </c>
      <c r="H41" s="73"/>
      <c r="I41" s="73"/>
      <c r="J41" s="91" t="s">
        <v>1059</v>
      </c>
      <c r="K41" s="75" t="s">
        <v>856</v>
      </c>
      <c r="L41" s="73"/>
      <c r="M41" s="73"/>
    </row>
    <row r="42">
      <c r="A42" s="79" t="s">
        <v>1060</v>
      </c>
      <c r="B42" s="81" t="b">
        <v>0</v>
      </c>
      <c r="C42" s="73"/>
      <c r="D42" s="73"/>
      <c r="E42" s="73"/>
      <c r="F42" s="79" t="s">
        <v>1061</v>
      </c>
      <c r="G42" s="92"/>
      <c r="H42" s="73"/>
      <c r="I42" s="73"/>
      <c r="J42" s="93" t="s">
        <v>1062</v>
      </c>
      <c r="K42" s="81" t="b">
        <v>0</v>
      </c>
      <c r="L42" s="73"/>
      <c r="M42" s="73"/>
    </row>
    <row r="43">
      <c r="A43" s="79" t="s">
        <v>1063</v>
      </c>
      <c r="B43" s="81" t="b">
        <v>0</v>
      </c>
      <c r="C43" s="73"/>
      <c r="D43" s="73"/>
      <c r="E43" s="73"/>
      <c r="F43" s="79" t="s">
        <v>1064</v>
      </c>
      <c r="G43" s="81" t="b">
        <v>0</v>
      </c>
      <c r="H43" s="73"/>
      <c r="I43" s="73"/>
      <c r="J43" s="93" t="s">
        <v>1065</v>
      </c>
      <c r="K43" s="81" t="b">
        <v>0</v>
      </c>
      <c r="L43" s="73"/>
      <c r="M43" s="73"/>
    </row>
    <row r="44">
      <c r="A44" s="79" t="s">
        <v>1066</v>
      </c>
      <c r="B44" s="81" t="b">
        <v>0</v>
      </c>
      <c r="C44" s="73"/>
      <c r="D44" s="73"/>
      <c r="E44" s="73"/>
      <c r="F44" s="79" t="s">
        <v>1067</v>
      </c>
      <c r="G44" s="81" t="b">
        <v>0</v>
      </c>
      <c r="H44" s="73"/>
      <c r="I44" s="73"/>
      <c r="J44" s="93" t="s">
        <v>1068</v>
      </c>
      <c r="K44" s="81" t="b">
        <v>0</v>
      </c>
      <c r="L44" s="73"/>
      <c r="M44" s="73"/>
    </row>
    <row r="45">
      <c r="A45" s="79" t="s">
        <v>1069</v>
      </c>
      <c r="B45" s="81" t="b">
        <v>0</v>
      </c>
      <c r="C45" s="73"/>
      <c r="D45" s="73"/>
      <c r="E45" s="73"/>
      <c r="F45" s="94" t="s">
        <v>1070</v>
      </c>
      <c r="G45" s="81" t="b">
        <v>0</v>
      </c>
      <c r="H45" s="73"/>
      <c r="I45" s="73"/>
      <c r="J45" s="93" t="s">
        <v>1071</v>
      </c>
      <c r="K45" s="81" t="b">
        <v>0</v>
      </c>
      <c r="L45" s="73"/>
      <c r="M45" s="73"/>
    </row>
    <row r="46">
      <c r="A46" s="79" t="s">
        <v>1072</v>
      </c>
      <c r="B46" s="81" t="b">
        <v>0</v>
      </c>
      <c r="C46" s="73"/>
      <c r="D46" s="73"/>
      <c r="E46" s="73"/>
      <c r="F46" s="79" t="s">
        <v>1073</v>
      </c>
      <c r="G46" s="81" t="b">
        <v>0</v>
      </c>
      <c r="H46" s="73"/>
      <c r="I46" s="73"/>
      <c r="J46" s="93" t="s">
        <v>1074</v>
      </c>
      <c r="K46" s="81" t="b">
        <v>0</v>
      </c>
      <c r="L46" s="73"/>
      <c r="M46" s="73"/>
    </row>
    <row r="47">
      <c r="A47" s="79" t="s">
        <v>1075</v>
      </c>
      <c r="B47" s="81" t="b">
        <v>0</v>
      </c>
      <c r="C47" s="73"/>
      <c r="D47" s="73"/>
      <c r="E47" s="73"/>
      <c r="F47" s="73"/>
      <c r="G47" s="73"/>
      <c r="H47" s="73"/>
      <c r="I47" s="73"/>
      <c r="J47" s="93" t="s">
        <v>1076</v>
      </c>
      <c r="K47" s="81" t="b">
        <v>0</v>
      </c>
      <c r="L47" s="73"/>
      <c r="M47" s="73"/>
    </row>
    <row r="48">
      <c r="A48" s="79" t="s">
        <v>1077</v>
      </c>
      <c r="B48" s="81" t="b">
        <v>0</v>
      </c>
      <c r="C48" s="73"/>
      <c r="D48" s="73"/>
      <c r="E48" s="73"/>
      <c r="F48" s="79" t="s">
        <v>1078</v>
      </c>
      <c r="G48" s="73"/>
      <c r="H48" s="73"/>
      <c r="I48" s="73"/>
      <c r="J48" s="93" t="s">
        <v>1079</v>
      </c>
      <c r="K48" s="81" t="b">
        <v>0</v>
      </c>
      <c r="L48" s="73"/>
      <c r="M48" s="73"/>
    </row>
    <row r="49">
      <c r="A49" s="79" t="s">
        <v>1080</v>
      </c>
      <c r="B49" s="81" t="b">
        <v>0</v>
      </c>
      <c r="C49" s="73"/>
      <c r="D49" s="73"/>
      <c r="E49" s="73"/>
      <c r="F49" s="82" t="s">
        <v>1081</v>
      </c>
      <c r="G49" s="81" t="b">
        <v>0</v>
      </c>
      <c r="H49" s="73"/>
      <c r="I49" s="73"/>
      <c r="J49" s="93" t="s">
        <v>1082</v>
      </c>
      <c r="K49" s="81" t="b">
        <v>0</v>
      </c>
      <c r="L49" s="73"/>
      <c r="M49" s="73"/>
    </row>
    <row r="50">
      <c r="A50" s="79" t="s">
        <v>1083</v>
      </c>
      <c r="B50" s="81" t="b">
        <v>0</v>
      </c>
      <c r="C50" s="73"/>
      <c r="D50" s="73"/>
      <c r="E50" s="73"/>
      <c r="F50" s="82" t="s">
        <v>1084</v>
      </c>
      <c r="G50" s="81" t="b">
        <v>0</v>
      </c>
      <c r="H50" s="73"/>
      <c r="I50" s="73"/>
      <c r="J50" s="93" t="s">
        <v>1085</v>
      </c>
      <c r="K50" s="81" t="b">
        <v>0</v>
      </c>
      <c r="L50" s="73"/>
      <c r="M50" s="73"/>
    </row>
    <row r="51">
      <c r="A51" s="79" t="s">
        <v>1086</v>
      </c>
      <c r="B51" s="81" t="b">
        <v>0</v>
      </c>
      <c r="C51" s="73"/>
      <c r="D51" s="73"/>
      <c r="E51" s="73"/>
      <c r="F51" s="82" t="s">
        <v>1087</v>
      </c>
      <c r="G51" s="81" t="b">
        <v>0</v>
      </c>
      <c r="H51" s="73"/>
      <c r="I51" s="73"/>
      <c r="J51" s="93" t="s">
        <v>1088</v>
      </c>
      <c r="K51" s="81" t="b">
        <v>0</v>
      </c>
      <c r="L51" s="73"/>
      <c r="M51" s="73"/>
    </row>
    <row r="52">
      <c r="A52" s="79" t="s">
        <v>1089</v>
      </c>
      <c r="B52" s="81" t="b">
        <v>0</v>
      </c>
      <c r="C52" s="73"/>
      <c r="D52" s="73"/>
      <c r="E52" s="73"/>
      <c r="F52" s="82" t="s">
        <v>1090</v>
      </c>
      <c r="G52" s="81" t="b">
        <v>0</v>
      </c>
      <c r="H52" s="73"/>
      <c r="I52" s="73"/>
      <c r="J52" s="73"/>
      <c r="K52" s="73"/>
      <c r="L52" s="73"/>
      <c r="M52" s="73"/>
    </row>
    <row r="53">
      <c r="A53" s="79" t="s">
        <v>1091</v>
      </c>
      <c r="B53" s="81" t="b">
        <v>0</v>
      </c>
      <c r="C53" s="73"/>
      <c r="D53" s="73"/>
      <c r="E53" s="73"/>
      <c r="F53" s="73"/>
      <c r="G53" s="73"/>
      <c r="H53" s="73"/>
      <c r="I53" s="73"/>
      <c r="J53" s="73"/>
      <c r="K53" s="73"/>
      <c r="L53" s="73"/>
      <c r="M53" s="73"/>
    </row>
    <row r="54">
      <c r="A54" s="79" t="s">
        <v>1092</v>
      </c>
      <c r="B54" s="81" t="b">
        <v>0</v>
      </c>
      <c r="C54" s="73"/>
      <c r="D54" s="73"/>
      <c r="E54" s="73"/>
      <c r="F54" s="79" t="s">
        <v>1093</v>
      </c>
      <c r="G54" s="81" t="b">
        <v>0</v>
      </c>
      <c r="H54" s="73"/>
      <c r="I54" s="73"/>
      <c r="J54" s="73"/>
      <c r="K54" s="73"/>
      <c r="L54" s="73"/>
      <c r="M54" s="73"/>
    </row>
    <row r="55">
      <c r="A55" s="73"/>
      <c r="B55" s="73"/>
      <c r="C55" s="73"/>
      <c r="D55" s="73"/>
      <c r="E55" s="73"/>
      <c r="F55" s="95" t="s">
        <v>1094</v>
      </c>
      <c r="G55" s="81" t="b">
        <v>0</v>
      </c>
      <c r="H55" s="73"/>
      <c r="I55" s="73"/>
      <c r="J55" s="73"/>
      <c r="K55" s="73"/>
      <c r="L55" s="73"/>
      <c r="M55" s="73"/>
    </row>
    <row r="56">
      <c r="A56" s="73"/>
      <c r="B56" s="73"/>
      <c r="C56" s="73"/>
      <c r="D56" s="73"/>
      <c r="E56" s="73"/>
      <c r="F56" s="73"/>
      <c r="G56" s="73"/>
      <c r="H56" s="73"/>
      <c r="I56" s="73"/>
      <c r="J56" s="73"/>
      <c r="K56" s="73"/>
      <c r="L56" s="73"/>
      <c r="M56" s="73"/>
    </row>
    <row r="57">
      <c r="A57" s="73"/>
      <c r="B57" s="73"/>
      <c r="C57" s="73"/>
      <c r="D57" s="73"/>
      <c r="E57" s="73"/>
      <c r="F57" s="93" t="s">
        <v>1095</v>
      </c>
      <c r="G57" s="73"/>
      <c r="H57" s="73"/>
      <c r="I57" s="73"/>
      <c r="J57" s="73"/>
      <c r="K57" s="73"/>
      <c r="L57" s="73"/>
      <c r="M57" s="73"/>
    </row>
    <row r="58">
      <c r="A58" s="73"/>
      <c r="B58" s="73"/>
      <c r="C58" s="73"/>
      <c r="D58" s="73"/>
      <c r="E58" s="73"/>
      <c r="F58" s="73"/>
      <c r="G58" s="73"/>
      <c r="H58" s="73"/>
      <c r="I58" s="73"/>
      <c r="J58" s="73"/>
      <c r="K58" s="73"/>
      <c r="L58" s="73"/>
      <c r="M58" s="73"/>
    </row>
    <row r="59">
      <c r="A59" s="73"/>
      <c r="B59" s="73"/>
      <c r="C59" s="73"/>
      <c r="D59" s="73"/>
      <c r="E59" s="73"/>
      <c r="F59" s="73"/>
      <c r="G59" s="73"/>
      <c r="H59" s="73"/>
      <c r="I59" s="73"/>
      <c r="J59" s="73"/>
      <c r="K59" s="73"/>
      <c r="L59" s="73"/>
      <c r="M59" s="73"/>
    </row>
    <row r="60">
      <c r="A60" s="96" t="s">
        <v>1096</v>
      </c>
      <c r="B60" s="96" t="s">
        <v>1097</v>
      </c>
      <c r="C60" s="96" t="s">
        <v>1098</v>
      </c>
      <c r="D60" s="73"/>
      <c r="E60" s="73"/>
      <c r="F60" s="73"/>
      <c r="G60" s="73"/>
      <c r="H60" s="73"/>
      <c r="I60" s="73"/>
      <c r="J60" s="73"/>
      <c r="K60" s="73"/>
      <c r="L60" s="73"/>
      <c r="M60" s="73"/>
    </row>
    <row r="61">
      <c r="A61" s="73" t="s">
        <v>1099</v>
      </c>
      <c r="B61" s="73" t="s">
        <v>1100</v>
      </c>
      <c r="C61" s="73" t="s">
        <v>1101</v>
      </c>
      <c r="D61" s="73"/>
      <c r="E61" s="73"/>
      <c r="F61" s="73"/>
      <c r="G61" s="73"/>
      <c r="H61" s="73"/>
      <c r="I61" s="73"/>
      <c r="J61" s="73"/>
      <c r="K61" s="73"/>
      <c r="L61" s="73"/>
      <c r="M61" s="73"/>
    </row>
    <row r="62">
      <c r="A62" s="97" t="s">
        <v>1102</v>
      </c>
      <c r="B62" s="73" t="s">
        <v>1103</v>
      </c>
      <c r="C62" s="73" t="s">
        <v>1104</v>
      </c>
      <c r="D62" s="73"/>
      <c r="E62" s="73"/>
      <c r="F62" s="73"/>
      <c r="G62" s="73"/>
      <c r="H62" s="73"/>
      <c r="I62" s="73"/>
      <c r="J62" s="73"/>
      <c r="K62" s="73"/>
      <c r="L62" s="73"/>
      <c r="M62" s="73"/>
    </row>
    <row r="63">
      <c r="A63" s="73" t="s">
        <v>1105</v>
      </c>
      <c r="B63" s="73" t="s">
        <v>1106</v>
      </c>
      <c r="C63" s="73" t="s">
        <v>1107</v>
      </c>
      <c r="D63" s="73"/>
      <c r="E63" s="73"/>
      <c r="F63" s="73"/>
      <c r="G63" s="73"/>
      <c r="H63" s="73"/>
      <c r="I63" s="73"/>
      <c r="J63" s="73"/>
      <c r="K63" s="73"/>
      <c r="L63" s="73"/>
      <c r="M63" s="73"/>
    </row>
    <row r="64">
      <c r="A64" s="73" t="s">
        <v>1108</v>
      </c>
      <c r="B64" s="73" t="s">
        <v>1109</v>
      </c>
      <c r="C64" s="73" t="s">
        <v>1110</v>
      </c>
      <c r="D64" s="73"/>
      <c r="E64" s="73"/>
      <c r="F64" s="73"/>
      <c r="G64" s="73"/>
      <c r="H64" s="73"/>
      <c r="I64" s="73"/>
      <c r="J64" s="73"/>
      <c r="K64" s="73"/>
      <c r="L64" s="73"/>
      <c r="M64" s="73"/>
    </row>
    <row r="65">
      <c r="A65" s="73" t="s">
        <v>1111</v>
      </c>
      <c r="B65" s="73" t="s">
        <v>1112</v>
      </c>
      <c r="C65" s="73" t="s">
        <v>1113</v>
      </c>
      <c r="D65" s="73"/>
      <c r="E65" s="73"/>
      <c r="F65" s="73"/>
      <c r="G65" s="73"/>
      <c r="H65" s="73"/>
      <c r="I65" s="73"/>
      <c r="J65" s="73"/>
      <c r="K65" s="73"/>
      <c r="L65" s="73"/>
      <c r="M65" s="73"/>
    </row>
    <row r="66">
      <c r="A66" s="73" t="s">
        <v>1114</v>
      </c>
      <c r="B66" s="73" t="s">
        <v>1115</v>
      </c>
      <c r="C66" s="73" t="s">
        <v>1116</v>
      </c>
      <c r="D66" s="73"/>
      <c r="E66" s="73"/>
      <c r="F66" s="73"/>
      <c r="G66" s="73"/>
      <c r="H66" s="73"/>
      <c r="I66" s="73"/>
      <c r="J66" s="73"/>
      <c r="K66" s="73"/>
      <c r="L66" s="73"/>
      <c r="M66" s="73"/>
    </row>
    <row r="67">
      <c r="A67" s="73" t="s">
        <v>1117</v>
      </c>
      <c r="B67" s="73" t="s">
        <v>1118</v>
      </c>
      <c r="C67" s="73" t="s">
        <v>1119</v>
      </c>
      <c r="D67" s="73"/>
      <c r="E67" s="73"/>
      <c r="F67" s="73"/>
      <c r="G67" s="73"/>
      <c r="H67" s="73"/>
      <c r="I67" s="73"/>
      <c r="J67" s="73"/>
      <c r="K67" s="73"/>
      <c r="L67" s="73"/>
      <c r="M67" s="73"/>
    </row>
    <row r="68">
      <c r="A68" s="73" t="s">
        <v>1120</v>
      </c>
      <c r="B68" s="73" t="s">
        <v>1121</v>
      </c>
      <c r="C68" s="73" t="s">
        <v>1122</v>
      </c>
      <c r="D68" s="73"/>
      <c r="E68" s="73"/>
      <c r="F68" s="73"/>
      <c r="G68" s="73"/>
      <c r="H68" s="73"/>
      <c r="I68" s="73"/>
      <c r="J68" s="73"/>
      <c r="K68" s="73"/>
      <c r="L68" s="73"/>
      <c r="M68" s="73"/>
    </row>
    <row r="69">
      <c r="A69" s="73" t="s">
        <v>1123</v>
      </c>
      <c r="B69" s="73" t="s">
        <v>1124</v>
      </c>
      <c r="C69" s="73" t="s">
        <v>1125</v>
      </c>
      <c r="D69" s="73"/>
      <c r="E69" s="73"/>
      <c r="F69" s="73"/>
      <c r="G69" s="73"/>
      <c r="H69" s="73"/>
      <c r="I69" s="73"/>
      <c r="J69" s="73"/>
      <c r="K69" s="73"/>
      <c r="L69" s="73"/>
      <c r="M69" s="73"/>
    </row>
    <row r="70">
      <c r="A70" s="73" t="s">
        <v>1126</v>
      </c>
      <c r="B70" s="73" t="s">
        <v>1127</v>
      </c>
      <c r="C70" s="73" t="s">
        <v>1128</v>
      </c>
      <c r="D70" s="73"/>
      <c r="E70" s="73"/>
      <c r="F70" s="73"/>
      <c r="G70" s="73"/>
      <c r="H70" s="73"/>
      <c r="I70" s="73"/>
      <c r="J70" s="73"/>
      <c r="K70" s="73"/>
      <c r="L70" s="73"/>
      <c r="M70" s="73"/>
    </row>
    <row r="71">
      <c r="A71" s="73" t="s">
        <v>1129</v>
      </c>
      <c r="B71" s="97" t="s">
        <v>1130</v>
      </c>
      <c r="C71" s="73" t="s">
        <v>1131</v>
      </c>
      <c r="D71" s="73"/>
      <c r="E71" s="73"/>
      <c r="F71" s="73"/>
      <c r="G71" s="73"/>
      <c r="H71" s="73"/>
      <c r="I71" s="73"/>
      <c r="J71" s="73"/>
      <c r="K71" s="73"/>
      <c r="L71" s="73"/>
      <c r="M71" s="73"/>
    </row>
    <row r="72">
      <c r="A72" s="73" t="s">
        <v>1132</v>
      </c>
      <c r="B72" s="97" t="s">
        <v>1133</v>
      </c>
      <c r="C72" s="73" t="s">
        <v>1134</v>
      </c>
      <c r="D72" s="73"/>
      <c r="E72" s="73"/>
      <c r="F72" s="73"/>
      <c r="G72" s="73"/>
      <c r="H72" s="73"/>
      <c r="I72" s="73"/>
      <c r="J72" s="73"/>
      <c r="K72" s="73"/>
      <c r="L72" s="73"/>
      <c r="M72" s="73"/>
    </row>
    <row r="73">
      <c r="A73" s="73" t="s">
        <v>1135</v>
      </c>
      <c r="B73" s="73" t="s">
        <v>1136</v>
      </c>
      <c r="C73" s="73" t="s">
        <v>1137</v>
      </c>
      <c r="D73" s="73"/>
      <c r="E73" s="73"/>
      <c r="F73" s="73"/>
      <c r="G73" s="73"/>
      <c r="H73" s="73"/>
      <c r="I73" s="73"/>
      <c r="J73" s="73"/>
      <c r="K73" s="73"/>
      <c r="L73" s="73"/>
      <c r="M73" s="73"/>
    </row>
    <row r="74">
      <c r="A74" s="96" t="s">
        <v>1138</v>
      </c>
      <c r="B74" s="73" t="s">
        <v>1139</v>
      </c>
      <c r="C74" s="73" t="s">
        <v>1140</v>
      </c>
      <c r="D74" s="73"/>
      <c r="E74" s="73"/>
      <c r="F74" s="73"/>
      <c r="G74" s="73"/>
      <c r="H74" s="73"/>
      <c r="I74" s="73"/>
      <c r="J74" s="73"/>
      <c r="K74" s="73"/>
      <c r="L74" s="73"/>
      <c r="M74" s="73"/>
    </row>
    <row r="75">
      <c r="A75" s="73" t="s">
        <v>1141</v>
      </c>
      <c r="B75" s="73" t="s">
        <v>1142</v>
      </c>
      <c r="C75" s="73" t="s">
        <v>1143</v>
      </c>
      <c r="D75" s="73"/>
      <c r="E75" s="73"/>
      <c r="F75" s="73"/>
      <c r="G75" s="73"/>
      <c r="H75" s="73"/>
      <c r="I75" s="73"/>
      <c r="J75" s="73"/>
      <c r="K75" s="73"/>
      <c r="L75" s="73"/>
      <c r="M75" s="73"/>
    </row>
    <row r="76">
      <c r="A76" s="73" t="s">
        <v>1144</v>
      </c>
      <c r="B76" s="73" t="s">
        <v>1145</v>
      </c>
      <c r="C76" s="97" t="s">
        <v>1146</v>
      </c>
      <c r="D76" s="73"/>
      <c r="E76" s="73"/>
      <c r="F76" s="73"/>
      <c r="G76" s="73"/>
      <c r="H76" s="73"/>
      <c r="I76" s="73"/>
      <c r="J76" s="73"/>
      <c r="K76" s="73"/>
      <c r="L76" s="73"/>
      <c r="M76" s="73"/>
    </row>
    <row r="77">
      <c r="A77" s="73" t="s">
        <v>1147</v>
      </c>
      <c r="B77" s="73" t="s">
        <v>1148</v>
      </c>
      <c r="C77" s="73" t="s">
        <v>1149</v>
      </c>
      <c r="D77" s="73"/>
      <c r="E77" s="73"/>
      <c r="F77" s="73"/>
      <c r="G77" s="73"/>
      <c r="H77" s="73"/>
      <c r="I77" s="73"/>
      <c r="J77" s="73"/>
      <c r="K77" s="73"/>
      <c r="L77" s="73"/>
      <c r="M77" s="73"/>
    </row>
    <row r="78">
      <c r="A78" s="73" t="s">
        <v>1150</v>
      </c>
      <c r="B78" s="73" t="s">
        <v>1151</v>
      </c>
      <c r="C78" s="73" t="s">
        <v>1152</v>
      </c>
      <c r="D78" s="73"/>
      <c r="E78" s="73"/>
      <c r="F78" s="73"/>
      <c r="G78" s="73"/>
      <c r="H78" s="73"/>
      <c r="I78" s="73"/>
      <c r="J78" s="73"/>
      <c r="K78" s="73"/>
      <c r="L78" s="73"/>
      <c r="M78" s="73"/>
    </row>
    <row r="79">
      <c r="A79" s="73" t="s">
        <v>1153</v>
      </c>
      <c r="B79" s="73" t="s">
        <v>1154</v>
      </c>
      <c r="C79" s="73" t="s">
        <v>1155</v>
      </c>
    </row>
    <row r="80">
      <c r="A80" s="96" t="s">
        <v>1156</v>
      </c>
      <c r="B80" s="73" t="s">
        <v>1157</v>
      </c>
      <c r="C80" s="73" t="s">
        <v>1158</v>
      </c>
    </row>
    <row r="81">
      <c r="A81" s="73" t="s">
        <v>1159</v>
      </c>
      <c r="B81" s="73" t="s">
        <v>1160</v>
      </c>
      <c r="C81" s="73" t="s">
        <v>1161</v>
      </c>
    </row>
    <row r="82">
      <c r="A82" s="73" t="s">
        <v>1162</v>
      </c>
      <c r="B82" s="73" t="s">
        <v>1163</v>
      </c>
      <c r="C82" s="73" t="s">
        <v>1164</v>
      </c>
    </row>
    <row r="83">
      <c r="A83" s="73" t="s">
        <v>1165</v>
      </c>
      <c r="B83" s="73" t="s">
        <v>1166</v>
      </c>
      <c r="C83" s="73" t="s">
        <v>1167</v>
      </c>
    </row>
    <row r="84">
      <c r="A84" s="73" t="s">
        <v>1168</v>
      </c>
      <c r="B84" s="73" t="s">
        <v>1169</v>
      </c>
      <c r="C84" s="73" t="s">
        <v>1170</v>
      </c>
    </row>
    <row r="85">
      <c r="A85" s="73" t="s">
        <v>1171</v>
      </c>
      <c r="B85" s="73" t="s">
        <v>1172</v>
      </c>
      <c r="C85" s="73" t="s">
        <v>1173</v>
      </c>
    </row>
    <row r="86">
      <c r="A86" s="73" t="s">
        <v>1174</v>
      </c>
      <c r="B86" s="73" t="s">
        <v>1175</v>
      </c>
      <c r="C86" s="73" t="s">
        <v>1176</v>
      </c>
    </row>
    <row r="87">
      <c r="A87" s="73" t="s">
        <v>1177</v>
      </c>
      <c r="B87" s="73" t="s">
        <v>1178</v>
      </c>
      <c r="C87" s="73" t="s">
        <v>1179</v>
      </c>
    </row>
    <row r="88">
      <c r="A88" s="73" t="s">
        <v>1180</v>
      </c>
      <c r="B88" s="73" t="s">
        <v>1181</v>
      </c>
      <c r="C88" s="73" t="s">
        <v>1182</v>
      </c>
    </row>
    <row r="89">
      <c r="A89" s="73" t="s">
        <v>1183</v>
      </c>
      <c r="B89" s="73" t="s">
        <v>1184</v>
      </c>
      <c r="C89" s="73" t="s">
        <v>1185</v>
      </c>
    </row>
    <row r="90">
      <c r="A90" s="73" t="s">
        <v>1186</v>
      </c>
      <c r="B90" s="73" t="s">
        <v>1187</v>
      </c>
      <c r="C90" s="73" t="s">
        <v>1188</v>
      </c>
    </row>
    <row r="91">
      <c r="A91" s="73" t="s">
        <v>1189</v>
      </c>
      <c r="B91" s="73" t="s">
        <v>1190</v>
      </c>
      <c r="C91" s="73" t="s">
        <v>1191</v>
      </c>
    </row>
    <row r="92">
      <c r="A92" s="73" t="s">
        <v>1192</v>
      </c>
      <c r="B92" s="73" t="s">
        <v>1193</v>
      </c>
      <c r="C92" s="73" t="s">
        <v>1194</v>
      </c>
    </row>
    <row r="93">
      <c r="A93" s="73" t="s">
        <v>1195</v>
      </c>
      <c r="B93" s="73" t="s">
        <v>1196</v>
      </c>
      <c r="C93" s="73" t="s">
        <v>1197</v>
      </c>
    </row>
    <row r="94">
      <c r="A94" s="73" t="s">
        <v>1198</v>
      </c>
      <c r="B94" s="73" t="s">
        <v>1199</v>
      </c>
      <c r="C94" s="73" t="s">
        <v>1200</v>
      </c>
    </row>
    <row r="95">
      <c r="A95" s="73" t="s">
        <v>1201</v>
      </c>
      <c r="B95" s="73" t="s">
        <v>1202</v>
      </c>
      <c r="C95" s="73" t="s">
        <v>1203</v>
      </c>
    </row>
    <row r="96">
      <c r="A96" s="73" t="s">
        <v>1204</v>
      </c>
      <c r="B96" s="73" t="s">
        <v>1205</v>
      </c>
      <c r="C96" s="73" t="s">
        <v>1206</v>
      </c>
    </row>
    <row r="97">
      <c r="A97" s="73" t="s">
        <v>1207</v>
      </c>
      <c r="B97" s="73" t="s">
        <v>1208</v>
      </c>
      <c r="C97" s="73" t="s">
        <v>1209</v>
      </c>
    </row>
    <row r="98">
      <c r="A98" s="73" t="s">
        <v>1210</v>
      </c>
      <c r="B98" s="73" t="s">
        <v>1211</v>
      </c>
      <c r="C98" s="73" t="s">
        <v>1212</v>
      </c>
    </row>
    <row r="99">
      <c r="A99" s="73" t="s">
        <v>1213</v>
      </c>
      <c r="B99" s="73" t="s">
        <v>1214</v>
      </c>
      <c r="C99" s="73" t="s">
        <v>1215</v>
      </c>
    </row>
    <row r="100">
      <c r="A100" s="73" t="s">
        <v>1216</v>
      </c>
      <c r="B100" s="73"/>
      <c r="C100" s="73" t="s">
        <v>1217</v>
      </c>
    </row>
  </sheetData>
  <mergeCells count="2">
    <mergeCell ref="C9:D14"/>
    <mergeCell ref="L9:M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9" max="9" width="14.38"/>
  </cols>
  <sheetData>
    <row r="1">
      <c r="A1" s="1" t="s">
        <v>1218</v>
      </c>
      <c r="B1" s="2"/>
      <c r="C1" s="3"/>
      <c r="E1" s="1" t="s">
        <v>1219</v>
      </c>
      <c r="F1" s="2"/>
      <c r="G1" s="3"/>
      <c r="I1" s="98" t="s">
        <v>1220</v>
      </c>
      <c r="J1" s="98" t="s">
        <v>1221</v>
      </c>
    </row>
    <row r="2">
      <c r="A2" s="99" t="s">
        <v>1222</v>
      </c>
      <c r="B2" s="99" t="s">
        <v>1223</v>
      </c>
      <c r="C2" s="99" t="s">
        <v>1224</v>
      </c>
      <c r="E2" s="99" t="s">
        <v>1222</v>
      </c>
      <c r="F2" s="99" t="s">
        <v>1223</v>
      </c>
      <c r="G2" s="99" t="s">
        <v>1224</v>
      </c>
      <c r="I2" s="100">
        <f>L2*M2*J2/L3</f>
        <v>153.75</v>
      </c>
      <c r="J2" s="101">
        <v>123.0</v>
      </c>
      <c r="L2" s="69">
        <v>60.0</v>
      </c>
      <c r="M2" s="69">
        <v>3.0</v>
      </c>
    </row>
    <row r="3">
      <c r="A3" s="102" t="s">
        <v>1225</v>
      </c>
      <c r="B3" s="103" t="s">
        <v>32</v>
      </c>
      <c r="C3" s="104">
        <v>18254.88</v>
      </c>
      <c r="E3" s="102" t="s">
        <v>1225</v>
      </c>
      <c r="F3" s="103" t="s">
        <v>32</v>
      </c>
      <c r="G3" s="104">
        <v>18000.0</v>
      </c>
      <c r="I3" s="98" t="s">
        <v>1220</v>
      </c>
      <c r="J3" s="100">
        <f>J2*M3</f>
        <v>246</v>
      </c>
      <c r="L3" s="105">
        <f>24*6</f>
        <v>144</v>
      </c>
      <c r="M3" s="69">
        <v>2.0</v>
      </c>
    </row>
    <row r="4">
      <c r="A4" s="103" t="s">
        <v>1226</v>
      </c>
      <c r="B4" s="103" t="s">
        <v>1227</v>
      </c>
      <c r="C4" s="104">
        <v>350.0</v>
      </c>
      <c r="E4" s="103" t="s">
        <v>1226</v>
      </c>
      <c r="F4" s="103" t="s">
        <v>1227</v>
      </c>
      <c r="G4" s="104">
        <v>350.0</v>
      </c>
    </row>
    <row r="5">
      <c r="A5" s="106"/>
      <c r="B5" s="106"/>
      <c r="C5" s="106"/>
      <c r="E5" s="106"/>
      <c r="F5" s="106"/>
      <c r="G5" s="106"/>
    </row>
    <row r="6">
      <c r="A6" s="106"/>
      <c r="B6" s="106"/>
      <c r="C6" s="106"/>
      <c r="E6" s="106"/>
      <c r="F6" s="106"/>
      <c r="G6" s="106"/>
    </row>
    <row r="7">
      <c r="A7" s="106"/>
      <c r="B7" s="106"/>
      <c r="C7" s="106"/>
      <c r="E7" s="106"/>
      <c r="F7" s="106"/>
      <c r="G7" s="106"/>
    </row>
    <row r="8">
      <c r="A8" s="106"/>
      <c r="B8" s="106"/>
      <c r="C8" s="106"/>
      <c r="E8" s="106"/>
      <c r="F8" s="106"/>
      <c r="G8" s="106"/>
    </row>
    <row r="9">
      <c r="A9" s="106"/>
      <c r="B9" s="106"/>
      <c r="C9" s="106"/>
      <c r="E9" s="106"/>
      <c r="F9" s="106"/>
      <c r="G9" s="106"/>
    </row>
    <row r="10">
      <c r="A10" s="106"/>
      <c r="B10" s="106"/>
      <c r="C10" s="106"/>
      <c r="E10" s="106"/>
      <c r="F10" s="106"/>
      <c r="G10" s="106"/>
    </row>
    <row r="11">
      <c r="A11" s="106"/>
      <c r="B11" s="106"/>
      <c r="C11" s="106"/>
      <c r="E11" s="106"/>
      <c r="F11" s="106"/>
      <c r="G11" s="106"/>
    </row>
    <row r="12">
      <c r="A12" s="106"/>
      <c r="B12" s="106"/>
      <c r="C12" s="106"/>
      <c r="E12" s="106"/>
      <c r="F12" s="106"/>
      <c r="G12" s="106"/>
    </row>
    <row r="13">
      <c r="A13" s="106"/>
      <c r="B13" s="106"/>
      <c r="C13" s="106"/>
      <c r="E13" s="106"/>
      <c r="F13" s="106"/>
      <c r="G13" s="106"/>
    </row>
    <row r="14">
      <c r="A14" s="106"/>
      <c r="B14" s="106"/>
      <c r="C14" s="106"/>
      <c r="E14" s="106"/>
      <c r="F14" s="106"/>
      <c r="G14" s="106"/>
    </row>
    <row r="15">
      <c r="A15" s="106"/>
      <c r="B15" s="106"/>
      <c r="C15" s="106"/>
      <c r="E15" s="106"/>
      <c r="F15" s="106"/>
      <c r="G15" s="106"/>
    </row>
    <row r="16">
      <c r="A16" s="107" t="s">
        <v>1228</v>
      </c>
      <c r="B16" s="108"/>
      <c r="C16" s="109">
        <f>sum(C3:C15)</f>
        <v>18604.88</v>
      </c>
      <c r="E16" s="107" t="s">
        <v>1228</v>
      </c>
      <c r="F16" s="108"/>
      <c r="G16" s="109">
        <f>sum(G3:G15)</f>
        <v>18350</v>
      </c>
    </row>
    <row r="18">
      <c r="A18" s="110"/>
      <c r="B18" s="110"/>
      <c r="C18" s="110"/>
    </row>
    <row r="19">
      <c r="A19" s="110"/>
      <c r="B19" s="110"/>
      <c r="C19" s="110"/>
    </row>
    <row r="20">
      <c r="A20" s="110"/>
      <c r="B20" s="110"/>
      <c r="C20" s="110"/>
    </row>
    <row r="21">
      <c r="A21" s="110"/>
      <c r="B21" s="110"/>
      <c r="C21" s="110"/>
    </row>
    <row r="22">
      <c r="A22" s="110"/>
      <c r="B22" s="110"/>
      <c r="C22" s="110"/>
    </row>
  </sheetData>
  <mergeCells count="2">
    <mergeCell ref="A1:C1"/>
    <mergeCell ref="E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4.0"/>
    <col customWidth="1" min="3" max="3" width="29.13"/>
  </cols>
  <sheetData>
    <row r="1">
      <c r="A1" s="111" t="s">
        <v>1229</v>
      </c>
      <c r="B1" s="3"/>
      <c r="C1" s="56" t="s">
        <v>1230</v>
      </c>
    </row>
    <row r="2">
      <c r="A2" s="112" t="s">
        <v>1231</v>
      </c>
      <c r="B2" s="113">
        <v>2.00009873366E11</v>
      </c>
    </row>
    <row r="3">
      <c r="A3" s="112" t="s">
        <v>1232</v>
      </c>
      <c r="B3" s="113">
        <v>2.00009873015E11</v>
      </c>
    </row>
  </sheetData>
  <mergeCells count="1">
    <mergeCell ref="A1:B1"/>
  </mergeCells>
  <hyperlinks>
    <hyperlink r:id="rId1" ref="C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38"/>
  </cols>
  <sheetData>
    <row r="1">
      <c r="A1" s="114" t="s">
        <v>1233</v>
      </c>
      <c r="B1" s="3"/>
    </row>
    <row r="2">
      <c r="A2" s="115">
        <v>46039.0</v>
      </c>
      <c r="B2" s="116" t="s">
        <v>1234</v>
      </c>
    </row>
    <row r="3">
      <c r="A3" s="115">
        <v>46042.0</v>
      </c>
      <c r="B3" s="116" t="s">
        <v>1235</v>
      </c>
    </row>
    <row r="4">
      <c r="A4" s="115">
        <v>46044.0</v>
      </c>
      <c r="B4" s="116" t="s">
        <v>1235</v>
      </c>
    </row>
    <row r="5">
      <c r="A5" s="115">
        <v>46048.0</v>
      </c>
      <c r="B5" s="116" t="s">
        <v>1236</v>
      </c>
    </row>
    <row r="6">
      <c r="A6" s="115">
        <v>46052.0</v>
      </c>
      <c r="B6" s="117" t="s">
        <v>1237</v>
      </c>
    </row>
    <row r="7">
      <c r="A7" s="115">
        <v>46055.0</v>
      </c>
      <c r="B7" s="116" t="s">
        <v>1238</v>
      </c>
    </row>
    <row r="8">
      <c r="A8" s="115">
        <v>46056.0</v>
      </c>
      <c r="B8" s="118" t="s">
        <v>1239</v>
      </c>
    </row>
    <row r="9">
      <c r="A9" s="115">
        <v>46056.0</v>
      </c>
      <c r="B9" s="116" t="s">
        <v>1240</v>
      </c>
    </row>
  </sheetData>
  <mergeCells count="1">
    <mergeCell ref="A1:B1"/>
  </mergeCells>
  <drawing r:id="rId1"/>
</worksheet>
</file>